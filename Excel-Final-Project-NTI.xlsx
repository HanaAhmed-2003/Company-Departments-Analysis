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modat\Desktop\NTI_DA_Course\"/>
    </mc:Choice>
  </mc:AlternateContent>
  <xr:revisionPtr revIDLastSave="0" documentId="13_ncr:1_{F0B6AEFE-4E4C-49E2-852C-C02EBA5C26EB}" xr6:coauthVersionLast="47" xr6:coauthVersionMax="47" xr10:uidLastSave="{00000000-0000-0000-0000-000000000000}"/>
  <bookViews>
    <workbookView xWindow="-120" yWindow="-120" windowWidth="20730" windowHeight="11160" activeTab="1" xr2:uid="{587355C6-1BEB-4F4B-AA05-0E40FA16D5EB}"/>
  </bookViews>
  <sheets>
    <sheet name="PivotTables" sheetId="8" r:id="rId1"/>
    <sheet name="PivotCharts" sheetId="10" r:id="rId2"/>
    <sheet name="All Data" sheetId="7" r:id="rId3"/>
    <sheet name="Sheet1" sheetId="1" r:id="rId4"/>
  </sheets>
  <definedNames>
    <definedName name="ExternalData_6" localSheetId="2" hidden="1">'All Data'!$A$1:$Q$95</definedName>
    <definedName name="Slicer_Performance">#N/A</definedName>
    <definedName name="Slicer_Years__تاريخ_التعيين">#N/A</definedName>
    <definedName name="Slicer_القسم">#N/A</definedName>
    <definedName name="Slicer_الموقع">#N/A</definedName>
  </definedNames>
  <calcPr calcId="191029"/>
  <pivotCaches>
    <pivotCache cacheId="8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6" i="8" l="1"/>
  <c r="D76" i="8"/>
  <c r="E76" i="8"/>
  <c r="C77" i="8"/>
  <c r="D77" i="8"/>
  <c r="E7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330E64-8F2F-4F7E-A6F5-C7C542D56D43}" keepAlive="1" name="Query - All Data" description="Connection to the 'All Data' query in the workbook." type="5" refreshedVersion="8" background="1" saveData="1">
    <dbPr connection="Provider=Microsoft.Mashup.OleDb.1;Data Source=$Workbook$;Location=&quot;All Data&quot;;Extended Properties=&quot;&quot;" command="SELECT * FROM [All Data]"/>
  </connection>
  <connection id="2" xr16:uid="{7C8D4DBA-AE65-4A50-BF9D-E2C80714D3E6}" keepAlive="1" name="Query - Finance5" description="Connection to the 'Finance5' query in the workbook." type="5" refreshedVersion="8" background="1" saveData="1">
    <dbPr connection="Provider=Microsoft.Mashup.OleDb.1;Data Source=$Workbook$;Location=Finance5;Extended Properties=&quot;&quot;" command="SELECT * FROM [Finance5]"/>
  </connection>
  <connection id="3" xr16:uid="{DFF4B8D3-7962-4E3F-BD47-CA82BE31AAD3}" keepAlive="1" name="Query - HR4" description="Connection to the 'HR4' query in the workbook." type="5" refreshedVersion="8" background="1" saveData="1">
    <dbPr connection="Provider=Microsoft.Mashup.OleDb.1;Data Source=$Workbook$;Location=HR4;Extended Properties=&quot;&quot;" command="SELECT * FROM [HR4]"/>
  </connection>
  <connection id="4" xr16:uid="{08487456-8DB9-45CF-AB2E-BB42DFACDD90}" keepAlive="1" name="Query - IT3" description="Connection to the 'IT3' query in the workbook." type="5" refreshedVersion="8" background="1" saveData="1">
    <dbPr connection="Provider=Microsoft.Mashup.OleDb.1;Data Source=$Workbook$;Location=IT3;Extended Properties=&quot;&quot;" command="SELECT * FROM [IT3]"/>
  </connection>
  <connection id="5" xr16:uid="{31677E5E-B28E-4328-8C6D-968EB68CE3A9}" keepAlive="1" name="Query - Marketing2" description="Connection to the 'Marketing2' query in the workbook." type="5" refreshedVersion="8" background="1" saveData="1">
    <dbPr connection="Provider=Microsoft.Mashup.OleDb.1;Data Source=$Workbook$;Location=Marketing2;Extended Properties=&quot;&quot;" command="SELECT * FROM [Marketing2]"/>
  </connection>
  <connection id="6" xr16:uid="{92A05C44-3153-4CA1-9D64-81CC38FEC3AE}" keepAlive="1" name="Query - Sales1" description="Connection to the 'Sales1' query in the workbook." type="5" refreshedVersion="8" background="1" saveData="1">
    <dbPr connection="Provider=Microsoft.Mashup.OleDb.1;Data Source=$Workbook$;Location=Sales1;Extended Properties=&quot;&quot;" command="SELECT * FROM [Sales1]"/>
  </connection>
</connections>
</file>

<file path=xl/sharedStrings.xml><?xml version="1.0" encoding="utf-8"?>
<sst xmlns="http://schemas.openxmlformats.org/spreadsheetml/2006/main" count="993" uniqueCount="329">
  <si>
    <t>المسلسل</t>
  </si>
  <si>
    <t>الرقم الوظيفي</t>
  </si>
  <si>
    <t>اسم الموظف</t>
  </si>
  <si>
    <t>الوظيفة</t>
  </si>
  <si>
    <t>القسم</t>
  </si>
  <si>
    <t>الموقع</t>
  </si>
  <si>
    <t>تاريخ التعيين</t>
  </si>
  <si>
    <t>تاريخ الميلاد</t>
  </si>
  <si>
    <t>المؤهل الدراسي</t>
  </si>
  <si>
    <t>الراتب</t>
  </si>
  <si>
    <t>PER 2019</t>
  </si>
  <si>
    <t>PER 2020</t>
  </si>
  <si>
    <t>علي محمد</t>
  </si>
  <si>
    <t>Financial Manager</t>
  </si>
  <si>
    <t>Finance</t>
  </si>
  <si>
    <t>ماجستير</t>
  </si>
  <si>
    <t>خالد محمد</t>
  </si>
  <si>
    <t>Accountant</t>
  </si>
  <si>
    <t>بكالوريوس</t>
  </si>
  <si>
    <t>نسمة كامل</t>
  </si>
  <si>
    <t>طنطا</t>
  </si>
  <si>
    <t>تغريد يحيي</t>
  </si>
  <si>
    <t>حسن أحمد</t>
  </si>
  <si>
    <t>الاسكندرية</t>
  </si>
  <si>
    <t>مؤمن محمد</t>
  </si>
  <si>
    <t>حسين ياسر</t>
  </si>
  <si>
    <t>محمد علاء</t>
  </si>
  <si>
    <t>تامر خالد</t>
  </si>
  <si>
    <t>أحمد حسن</t>
  </si>
  <si>
    <t>HR Manager</t>
  </si>
  <si>
    <t>HR</t>
  </si>
  <si>
    <t>مهاب أسامة</t>
  </si>
  <si>
    <t>HR Specialist</t>
  </si>
  <si>
    <t>ايمان علي سلامة</t>
  </si>
  <si>
    <t>Recruitment Specialsit</t>
  </si>
  <si>
    <t>الاء أحمد</t>
  </si>
  <si>
    <t>HR Coordinator</t>
  </si>
  <si>
    <t>فادي نور</t>
  </si>
  <si>
    <t>نور يحيي</t>
  </si>
  <si>
    <t>هدي محمد</t>
  </si>
  <si>
    <t>أشرف أحمد</t>
  </si>
  <si>
    <t>يوسف أحمد</t>
  </si>
  <si>
    <t>أحمد فريد</t>
  </si>
  <si>
    <t>نورهان أحمد</t>
  </si>
  <si>
    <t>منه محمود</t>
  </si>
  <si>
    <t>يحيي هادي</t>
  </si>
  <si>
    <t>هالة عبد العال</t>
  </si>
  <si>
    <t>ندي إبراهيم</t>
  </si>
  <si>
    <t>عبد الرحمن محمد</t>
  </si>
  <si>
    <t>IT Manager</t>
  </si>
  <si>
    <t>IT</t>
  </si>
  <si>
    <t>كامل عصام</t>
  </si>
  <si>
    <t>Software developer</t>
  </si>
  <si>
    <t>اسراء عصام</t>
  </si>
  <si>
    <t>منه أحمد</t>
  </si>
  <si>
    <t>نغم محمد</t>
  </si>
  <si>
    <t>Age</t>
  </si>
  <si>
    <t>Total Years</t>
  </si>
  <si>
    <t>Age Group</t>
  </si>
  <si>
    <t>Growth %</t>
  </si>
  <si>
    <t>Performance</t>
  </si>
  <si>
    <t>5</t>
  </si>
  <si>
    <t>27375</t>
  </si>
  <si>
    <t>أحمد سمير</t>
  </si>
  <si>
    <t>Sales Manager</t>
  </si>
  <si>
    <t>Sales</t>
  </si>
  <si>
    <t>القاهره</t>
  </si>
  <si>
    <t>"40-50"</t>
  </si>
  <si>
    <t>Decline</t>
  </si>
  <si>
    <t>10</t>
  </si>
  <si>
    <t>30377</t>
  </si>
  <si>
    <t>Sales rep.</t>
  </si>
  <si>
    <t>دبلوم</t>
  </si>
  <si>
    <t>"50-60"</t>
  </si>
  <si>
    <t>Improved</t>
  </si>
  <si>
    <t>11</t>
  </si>
  <si>
    <t>29369</t>
  </si>
  <si>
    <t>16</t>
  </si>
  <si>
    <t>27142</t>
  </si>
  <si>
    <t>17</t>
  </si>
  <si>
    <t>27650</t>
  </si>
  <si>
    <t>حازم أحمد</t>
  </si>
  <si>
    <t>18</t>
  </si>
  <si>
    <t>25906</t>
  </si>
  <si>
    <t>19</t>
  </si>
  <si>
    <t>26439</t>
  </si>
  <si>
    <t>20</t>
  </si>
  <si>
    <t>26438</t>
  </si>
  <si>
    <t>21</t>
  </si>
  <si>
    <t>31456</t>
  </si>
  <si>
    <t>"60-70"</t>
  </si>
  <si>
    <t>22</t>
  </si>
  <si>
    <t>27141</t>
  </si>
  <si>
    <t>23</t>
  </si>
  <si>
    <t>26448</t>
  </si>
  <si>
    <t>هند بهاء</t>
  </si>
  <si>
    <t>31</t>
  </si>
  <si>
    <t>26437</t>
  </si>
  <si>
    <t>مارك يوسف</t>
  </si>
  <si>
    <t>32</t>
  </si>
  <si>
    <t>27960</t>
  </si>
  <si>
    <t>37</t>
  </si>
  <si>
    <t>27003</t>
  </si>
  <si>
    <t>38</t>
  </si>
  <si>
    <t>26440</t>
  </si>
  <si>
    <t>محمد أحمد</t>
  </si>
  <si>
    <t>39</t>
  </si>
  <si>
    <t>26433</t>
  </si>
  <si>
    <t>40</t>
  </si>
  <si>
    <t>31457</t>
  </si>
  <si>
    <t>41</t>
  </si>
  <si>
    <t>27648</t>
  </si>
  <si>
    <t>"30-40"</t>
  </si>
  <si>
    <t>42</t>
  </si>
  <si>
    <t>27858</t>
  </si>
  <si>
    <t>43</t>
  </si>
  <si>
    <t>26444</t>
  </si>
  <si>
    <t>51</t>
  </si>
  <si>
    <t>28126</t>
  </si>
  <si>
    <t>52</t>
  </si>
  <si>
    <t>26413</t>
  </si>
  <si>
    <t>59</t>
  </si>
  <si>
    <t>26347</t>
  </si>
  <si>
    <t>60</t>
  </si>
  <si>
    <t>26430</t>
  </si>
  <si>
    <t>محمد راضي</t>
  </si>
  <si>
    <t>72</t>
  </si>
  <si>
    <t>26991</t>
  </si>
  <si>
    <t>73</t>
  </si>
  <si>
    <t>27618</t>
  </si>
  <si>
    <t>78</t>
  </si>
  <si>
    <t>28166</t>
  </si>
  <si>
    <t>79</t>
  </si>
  <si>
    <t>27004</t>
  </si>
  <si>
    <t>80</t>
  </si>
  <si>
    <t>27649</t>
  </si>
  <si>
    <t>81</t>
  </si>
  <si>
    <t>26998</t>
  </si>
  <si>
    <t>82</t>
  </si>
  <si>
    <t>31455</t>
  </si>
  <si>
    <t>89</t>
  </si>
  <si>
    <t>26425</t>
  </si>
  <si>
    <t>90</t>
  </si>
  <si>
    <t>26421</t>
  </si>
  <si>
    <t>91</t>
  </si>
  <si>
    <t>26419</t>
  </si>
  <si>
    <t>92</t>
  </si>
  <si>
    <t>28927</t>
  </si>
  <si>
    <t>93</t>
  </si>
  <si>
    <t>26748</t>
  </si>
  <si>
    <t>94</t>
  </si>
  <si>
    <t>27494</t>
  </si>
  <si>
    <t>4</t>
  </si>
  <si>
    <t>29769</t>
  </si>
  <si>
    <t>12</t>
  </si>
  <si>
    <t>26401</t>
  </si>
  <si>
    <t>13</t>
  </si>
  <si>
    <t>26435</t>
  </si>
  <si>
    <t>33</t>
  </si>
  <si>
    <t>26410</t>
  </si>
  <si>
    <t>34</t>
  </si>
  <si>
    <t>27385</t>
  </si>
  <si>
    <t>61</t>
  </si>
  <si>
    <t>26389</t>
  </si>
  <si>
    <t>62</t>
  </si>
  <si>
    <t>30459</t>
  </si>
  <si>
    <t>74</t>
  </si>
  <si>
    <t>27780</t>
  </si>
  <si>
    <t>75</t>
  </si>
  <si>
    <t>25907</t>
  </si>
  <si>
    <t>86</t>
  </si>
  <si>
    <t>27144</t>
  </si>
  <si>
    <t>1</t>
  </si>
  <si>
    <t>26434</t>
  </si>
  <si>
    <t>6</t>
  </si>
  <si>
    <t>27154</t>
  </si>
  <si>
    <t>7</t>
  </si>
  <si>
    <t>27008</t>
  </si>
  <si>
    <t>8</t>
  </si>
  <si>
    <t>27621</t>
  </si>
  <si>
    <t>26</t>
  </si>
  <si>
    <t>27374</t>
  </si>
  <si>
    <t>27</t>
  </si>
  <si>
    <t>29368</t>
  </si>
  <si>
    <t>28</t>
  </si>
  <si>
    <t>27092</t>
  </si>
  <si>
    <t>29</t>
  </si>
  <si>
    <t>26429</t>
  </si>
  <si>
    <t>46</t>
  </si>
  <si>
    <t>26994</t>
  </si>
  <si>
    <t>47</t>
  </si>
  <si>
    <t>27007</t>
  </si>
  <si>
    <t>48</t>
  </si>
  <si>
    <t>26424</t>
  </si>
  <si>
    <t>49</t>
  </si>
  <si>
    <t>26415</t>
  </si>
  <si>
    <t>54</t>
  </si>
  <si>
    <t>27143</t>
  </si>
  <si>
    <t>55</t>
  </si>
  <si>
    <t>27393</t>
  </si>
  <si>
    <t>56</t>
  </si>
  <si>
    <t>30351</t>
  </si>
  <si>
    <t>57</t>
  </si>
  <si>
    <t>26441</t>
  </si>
  <si>
    <t>67</t>
  </si>
  <si>
    <t>27009</t>
  </si>
  <si>
    <t>68</t>
  </si>
  <si>
    <t>26428</t>
  </si>
  <si>
    <t>69</t>
  </si>
  <si>
    <t>26417</t>
  </si>
  <si>
    <t>70</t>
  </si>
  <si>
    <t>27150</t>
  </si>
  <si>
    <t>83</t>
  </si>
  <si>
    <t>26399</t>
  </si>
  <si>
    <t>84</t>
  </si>
  <si>
    <t>26442</t>
  </si>
  <si>
    <t>85</t>
  </si>
  <si>
    <t>25908</t>
  </si>
  <si>
    <t>3</t>
  </si>
  <si>
    <t>26446</t>
  </si>
  <si>
    <t>9</t>
  </si>
  <si>
    <t>26412</t>
  </si>
  <si>
    <t>30</t>
  </si>
  <si>
    <t>25905</t>
  </si>
  <si>
    <t>50</t>
  </si>
  <si>
    <t>30350</t>
  </si>
  <si>
    <t>58</t>
  </si>
  <si>
    <t>30349</t>
  </si>
  <si>
    <t>71</t>
  </si>
  <si>
    <t>30460</t>
  </si>
  <si>
    <t>2</t>
  </si>
  <si>
    <t>28127</t>
  </si>
  <si>
    <t>سارة احمد محمد</t>
  </si>
  <si>
    <t>Marketing Manager</t>
  </si>
  <si>
    <t>Marketing</t>
  </si>
  <si>
    <t>14</t>
  </si>
  <si>
    <t>26422</t>
  </si>
  <si>
    <t>Digital marketing specialist</t>
  </si>
  <si>
    <t>15</t>
  </si>
  <si>
    <t>26414</t>
  </si>
  <si>
    <t>Products Marketing Coordinator</t>
  </si>
  <si>
    <t>24</t>
  </si>
  <si>
    <t>30352</t>
  </si>
  <si>
    <t>مي محمد ابراهيم</t>
  </si>
  <si>
    <t>25</t>
  </si>
  <si>
    <t>26726</t>
  </si>
  <si>
    <t>35</t>
  </si>
  <si>
    <t>26431</t>
  </si>
  <si>
    <t>مروة محمد عبدالله</t>
  </si>
  <si>
    <t>36</t>
  </si>
  <si>
    <t>26396</t>
  </si>
  <si>
    <t>44</t>
  </si>
  <si>
    <t>26445</t>
  </si>
  <si>
    <t>45</t>
  </si>
  <si>
    <t>26400</t>
  </si>
  <si>
    <t>53</t>
  </si>
  <si>
    <t>26443</t>
  </si>
  <si>
    <t>63</t>
  </si>
  <si>
    <t>26610</t>
  </si>
  <si>
    <t>64</t>
  </si>
  <si>
    <t>26404</t>
  </si>
  <si>
    <t>65</t>
  </si>
  <si>
    <t>26402</t>
  </si>
  <si>
    <t>66</t>
  </si>
  <si>
    <t>26427</t>
  </si>
  <si>
    <t>76</t>
  </si>
  <si>
    <t>26999</t>
  </si>
  <si>
    <t>77</t>
  </si>
  <si>
    <t>28929</t>
  </si>
  <si>
    <t>87</t>
  </si>
  <si>
    <t>26447</t>
  </si>
  <si>
    <t>88</t>
  </si>
  <si>
    <t>28227</t>
  </si>
  <si>
    <t>Grand Total</t>
  </si>
  <si>
    <t>1995</t>
  </si>
  <si>
    <t>1996</t>
  </si>
  <si>
    <t>1998</t>
  </si>
  <si>
    <t>1999</t>
  </si>
  <si>
    <t>2000</t>
  </si>
  <si>
    <t>2001</t>
  </si>
  <si>
    <t>2002</t>
  </si>
  <si>
    <t>2003</t>
  </si>
  <si>
    <t>2004</t>
  </si>
  <si>
    <t>2006</t>
  </si>
  <si>
    <t>2007</t>
  </si>
  <si>
    <t>2008</t>
  </si>
  <si>
    <t>2010</t>
  </si>
  <si>
    <t>2011</t>
  </si>
  <si>
    <t>2012</t>
  </si>
  <si>
    <t>2013</t>
  </si>
  <si>
    <t>2014</t>
  </si>
  <si>
    <t>2015</t>
  </si>
  <si>
    <t>2016</t>
  </si>
  <si>
    <t>2017</t>
  </si>
  <si>
    <t>2018</t>
  </si>
  <si>
    <t>2005</t>
  </si>
  <si>
    <t>Jan</t>
  </si>
  <si>
    <t>Feb</t>
  </si>
  <si>
    <t>Mar</t>
  </si>
  <si>
    <t>Apr</t>
  </si>
  <si>
    <t>May</t>
  </si>
  <si>
    <t>Jun</t>
  </si>
  <si>
    <t>Jul</t>
  </si>
  <si>
    <t>Aug</t>
  </si>
  <si>
    <t>Sep</t>
  </si>
  <si>
    <t>Oct</t>
  </si>
  <si>
    <t>Nov</t>
  </si>
  <si>
    <t>Dec</t>
  </si>
  <si>
    <t>Total Salary</t>
  </si>
  <si>
    <t>Branch</t>
  </si>
  <si>
    <t>Total Salary By Performance &amp; Branch</t>
  </si>
  <si>
    <t>Count of الرقم الوظيفي</t>
  </si>
  <si>
    <t>Average of الراتب</t>
  </si>
  <si>
    <t>Average Salary</t>
  </si>
  <si>
    <t>#Employees</t>
  </si>
  <si>
    <t>Total Salary By Age Group</t>
  </si>
  <si>
    <t># الرقم الوظيفي</t>
  </si>
  <si>
    <t>#Emps By Department</t>
  </si>
  <si>
    <t>Average Salary By Job Title</t>
  </si>
  <si>
    <t>Job Title</t>
  </si>
  <si>
    <t>#Emps By Age Group &amp; Hire date</t>
  </si>
  <si>
    <t>Month</t>
  </si>
  <si>
    <t>#Emps</t>
  </si>
  <si>
    <t>#Emps By Month &amp; Performance</t>
  </si>
  <si>
    <t>#Emps By المؤهل الدراسي</t>
  </si>
  <si>
    <t># الموقع</t>
  </si>
  <si>
    <t># الموقع By Job Title</t>
  </si>
  <si>
    <t># القسم</t>
  </si>
  <si>
    <t># القسم By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</si>
</sst>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hh:mm:ss"/>
    <numFmt numFmtId="165" formatCode="_-* #,##0.00\ [$ج.م.‏-C01]_-;\-* #,##0.00\ [$ج.م.‏-C01]_-;_-* &quot;-&quot;??\ [$ج.م.‏-C01]_-;_-@_-"/>
    <numFmt numFmtId="166" formatCode="_-* #,##0\ [$ج.م.‏-C01]_-;\-* #,##0\ [$ج.م.‏-C01]_-;_-* &quot;-&quot;??\ [$ج.م.‏-C01]_-;_-@_-"/>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1">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165" fontId="0" fillId="0" borderId="1" xfId="0" applyNumberFormat="1" applyBorder="1"/>
    <xf numFmtId="0" fontId="0" fillId="0" borderId="1" xfId="0" pivotButton="1" applyBorder="1" applyAlignment="1">
      <alignment horizontal="center" vertical="center"/>
    </xf>
    <xf numFmtId="0" fontId="0" fillId="0" borderId="1" xfId="0" applyBorder="1" applyAlignment="1">
      <alignment horizontal="center" vertical="center"/>
    </xf>
    <xf numFmtId="0" fontId="1" fillId="0" borderId="0" xfId="0" applyFont="1"/>
    <xf numFmtId="0" fontId="1" fillId="0" borderId="1" xfId="0" pivotButton="1" applyFont="1" applyBorder="1" applyAlignment="1">
      <alignment horizontal="center" vertical="center"/>
    </xf>
    <xf numFmtId="0" fontId="0" fillId="0" borderId="2" xfId="0" applyBorder="1" applyAlignment="1">
      <alignment horizontal="left"/>
    </xf>
    <xf numFmtId="165" fontId="0" fillId="0" borderId="2" xfId="0" applyNumberFormat="1" applyBorder="1"/>
    <xf numFmtId="0" fontId="0" fillId="0" borderId="0" xfId="0" applyAlignment="1">
      <alignment horizontal="left"/>
    </xf>
    <xf numFmtId="166" fontId="0" fillId="0" borderId="1" xfId="0" applyNumberFormat="1" applyBorder="1"/>
    <xf numFmtId="166" fontId="0" fillId="0" borderId="0" xfId="0" applyNumberFormat="1"/>
    <xf numFmtId="0" fontId="0" fillId="0" borderId="2" xfId="0" applyBorder="1"/>
    <xf numFmtId="0" fontId="1" fillId="0" borderId="2" xfId="0" applyFont="1" applyBorder="1" applyAlignment="1">
      <alignment horizontal="center"/>
    </xf>
    <xf numFmtId="0" fontId="1" fillId="0" borderId="0" xfId="0" applyFont="1" applyAlignment="1">
      <alignment horizontal="center"/>
    </xf>
    <xf numFmtId="0" fontId="0" fillId="0" borderId="1" xfId="0" applyNumberFormat="1" applyBorder="1"/>
  </cellXfs>
  <cellStyles count="1">
    <cellStyle name="Normal" xfId="0" builtinId="0"/>
  </cellStyles>
  <dxfs count="737">
    <dxf>
      <numFmt numFmtId="164" formatCode="d\.hh:mm:ss"/>
    </dxf>
    <dxf>
      <numFmt numFmtId="19" formatCode="m/d/yyyy"/>
    </dxf>
    <dxf>
      <numFmt numFmtId="19" formatCode="m/d/yyyy"/>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6" formatCode="_-* #,##0\ [$ج.م.‏-C01]_-;\-* #,##0\ [$ج.م.‏-C01]_-;_-* &quot;-&quot;??\ [$ج.م.‏-C01]_-;_-@_-"/>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5" formatCode="_-* #,##0.00\ [$ج.م.‏-C01]_-;\-* #,##0.00\ [$ج.م.‏-C01]_-;_-* &quot;-&quot;??\ [$ج.م.‏-C01]_-;_-@_-"/>
    </dxf>
    <dxf>
      <numFmt numFmtId="0" formatCode="General"/>
    </dxf>
    <dxf>
      <numFmt numFmtId="0" formatCode="General"/>
    </dxf>
    <dxf>
      <numFmt numFmtId="165" formatCode="_-* #,##0.00\ [$ج.م.‏-C01]_-;\-* #,##0.00\ [$ج.م.‏-C01]_-;_-* &quot;-&quot;??\ [$ج.م.‏-C01]_-;_-@_-"/>
    </dxf>
    <dxf>
      <numFmt numFmtId="165" formatCode="_-* #,##0.00\ [$ج.م.‏-C01]_-;\-* #,##0.00\ [$ج.م.‏-C01]_-;_-* &quot;-&quot;??\ [$ج.م.‏-C01]_-;_-@_-"/>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0" formatCode="General"/>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 [$ج.م.‏-C01]_-;\-* #,##0\ [$ج.م.‏-C01]_-;_-* &quot;-&quot;??\ [$ج.م.‏-C01]_-;_-@_-"/>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6" formatCode="_-* #,##0\ [$ج.م.‏-C01]_-;\-* #,##0\ [$ج.م.‏-C01]_-;_-* &quot;-&quot;??\ [$ج.م.‏-C01]_-;_-@_-"/>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5" formatCode="_-* #,##0.00\ [$ج.م.‏-C01]_-;\-* #,##0.00\ [$ج.م.‏-C01]_-;_-* &quot;-&quot;??\ [$ج.م.‏-C01]_-;_-@_-"/>
    </dxf>
    <dxf>
      <numFmt numFmtId="0" formatCode="General"/>
    </dxf>
    <dxf>
      <numFmt numFmtId="0" formatCode="General"/>
    </dxf>
    <dxf>
      <numFmt numFmtId="165" formatCode="_-* #,##0.00\ [$ج.م.‏-C01]_-;\-* #,##0.00\ [$ج.م.‏-C01]_-;_-* &quot;-&quot;??\ [$ج.م.‏-C01]_-;_-@_-"/>
    </dxf>
    <dxf>
      <numFmt numFmtId="165" formatCode="_-* #,##0.00\ [$ج.م.‏-C01]_-;\-* #,##0.00\ [$ج.م.‏-C01]_-;_-* &quot;-&quot;??\ [$ج.م.‏-C01]_-;_-@_-"/>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0" formatCode="General"/>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 [$ج.م.‏-C01]_-;\-* #,##0\ [$ج.م.‏-C01]_-;_-* &quot;-&quot;??\ [$ج.م.‏-C01]_-;_-@_-"/>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6" formatCode="_-* #,##0\ [$ج.م.‏-C01]_-;\-* #,##0\ [$ج.م.‏-C01]_-;_-* &quot;-&quot;??\ [$ج.م.‏-C01]_-;_-@_-"/>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5" formatCode="_-* #,##0.00\ [$ج.م.‏-C01]_-;\-* #,##0.00\ [$ج.م.‏-C01]_-;_-* &quot;-&quot;??\ [$ج.م.‏-C01]_-;_-@_-"/>
    </dxf>
    <dxf>
      <numFmt numFmtId="0" formatCode="General"/>
    </dxf>
    <dxf>
      <numFmt numFmtId="0" formatCode="General"/>
    </dxf>
    <dxf>
      <numFmt numFmtId="165" formatCode="_-* #,##0.00\ [$ج.م.‏-C01]_-;\-* #,##0.00\ [$ج.م.‏-C01]_-;_-* &quot;-&quot;??\ [$ج.م.‏-C01]_-;_-@_-"/>
    </dxf>
    <dxf>
      <numFmt numFmtId="165" formatCode="_-* #,##0.00\ [$ج.م.‏-C01]_-;\-* #,##0.00\ [$ج.م.‏-C01]_-;_-* &quot;-&quot;??\ [$ج.م.‏-C01]_-;_-@_-"/>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0" formatCode="General"/>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 [$ج.م.‏-C01]_-;\-* #,##0\ [$ج.م.‏-C01]_-;_-* &quot;-&quot;??\ [$ج.م.‏-C01]_-;_-@_-"/>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alignment horizontal="center"/>
    </dxf>
    <dxf>
      <font>
        <b/>
      </font>
    </dxf>
    <dxf>
      <numFmt numFmtId="0" formatCode="General"/>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6" formatCode="_-* #,##0\ [$ج.م.‏-C01]_-;\-* #,##0\ [$ج.م.‏-C01]_-;_-* &quot;-&quot;??\ [$ج.م.‏-C01]_-;_-@_-"/>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5" formatCode="_-* #,##0.00\ [$ج.م.‏-C01]_-;\-* #,##0.00\ [$ج.م.‏-C01]_-;_-* &quot;-&quot;??\ [$ج.م.‏-C01]_-;_-@_-"/>
    </dxf>
    <dxf>
      <numFmt numFmtId="0" formatCode="General"/>
    </dxf>
    <dxf>
      <numFmt numFmtId="0" formatCode="General"/>
    </dxf>
    <dxf>
      <numFmt numFmtId="165" formatCode="_-* #,##0.00\ [$ج.م.‏-C01]_-;\-* #,##0.00\ [$ج.م.‏-C01]_-;_-* &quot;-&quot;??\ [$ج.م.‏-C01]_-;_-@_-"/>
    </dxf>
    <dxf>
      <numFmt numFmtId="165" formatCode="_-* #,##0.00\ [$ج.م.‏-C01]_-;\-* #,##0.00\ [$ج.م.‏-C01]_-;_-* &quot;-&quot;??\ [$ج.م.‏-C01]_-;_-@_-"/>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0" formatCode="General"/>
    </dxf>
    <dxf>
      <numFmt numFmtId="165" formatCode="_-* #,##0.00\ [$ج.م.‏-C01]_-;\-* #,##0.0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0\ [$ج.م.‏-C01]_-;\-* #,##0\ [$ج.م.‏-C01]_-;_-* &quot;-&quot;??\ [$ج.م.‏-C01]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 [$ج.م.‏-C01]_-;\-* #,##0\ [$ج.م.‏-C01]_-;_-* &quot;-&quot;??\ [$ج.م.‏-C01]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00\ [$ج.م.‏-C01]_-;\-* #,##0.00\ [$ج.م.‏-C01]_-;_-* &quot;-&quot;??\ [$ج.م.‏-C01]_-;_-@_-"/>
    </dxf>
    <dxf>
      <numFmt numFmtId="0" formatCode="Genera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00\ [$ج.م.‏-C01]_-;\-* #,##0.00\ [$ج.م.‏-C01]_-;_-* &quot;-&quot;??\ [$ج.م.‏-C01]_-;_-@_-"/>
    </dxf>
    <dxf>
      <numFmt numFmtId="165" formatCode="_-* #,##0.00\ [$ج.م.‏-C01]_-;\-* #,##0.00\ [$ج.م.‏-C01]_-;_-* &quot;-&quot;??\ [$ج.م.‏-C01]_-;_-@_-"/>
    </dxf>
    <dxf>
      <numFmt numFmtId="165" formatCode="_-* #,##0.00\ [$ج.م.‏-C01]_-;\-* #,##0.00\ [$ج.م.‏-C01]_-;_-* &quot;-&quot;??\ [$ج.م.‏-C01]_-;_-@_-"/>
    </dxf>
    <dxf>
      <numFmt numFmtId="0" formatCode="General"/>
    </dxf>
    <dxf>
      <numFmt numFmtId="0" formatCode="General"/>
    </dxf>
    <dxf>
      <numFmt numFmtId="165" formatCode="_-* #,##0.00\ [$ج.م.‏-C01]_-;\-* #,##0.00\ [$ج.م.‏-C01]_-;_-* &quot;-&quot;??\ [$ج.م.‏-C01]_-;_-@_-"/>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00\ [$ج.م.‏-C01]_-;\-* #,##0.00\ [$ج.م.‏-C01]_-;_-* &quot;-&quot;??\ [$ج.م.‏-C01]_-;_-@_-"/>
    </dxf>
    <dxf>
      <numFmt numFmtId="166" formatCode="_-* #,##0\ [$ج.م.‏-C01]_-;\-* #,##0\ [$ج.م.‏-C01]_-;_-* &quot;-&quot;??\ [$ج.م.‏-C01]_-;_-@_-"/>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00\ [$ج.م.‏-C01]_-;\-* #,##0.00\ [$ج.م.‏-C01]_-;_-* &quot;-&quot;??\ [$ج.م.‏-C01]_-;_-@_-"/>
    </dxf>
    <dxf>
      <numFmt numFmtId="0" formatCode="General"/>
    </dxf>
    <dxf>
      <font>
        <b/>
      </font>
    </dxf>
    <dxf>
      <alignment horizont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font>
    </dxf>
    <dxf>
      <alignment horizont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font>
    </dxf>
    <dxf>
      <alignment horizont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font>
    </dxf>
    <dxf>
      <alignment horizont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00\ [$ج.م.‏-C01]_-;\-* #,##0.00\ [$ج.م.‏-C01]_-;_-* &quot;-&quot;??\ [$ج.م.‏-C01]_-;_-@_-"/>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00\ [$ج.م.‏-C01]_-;\-* #,##0.00\ [$ج.م.‏-C01]_-;_-* &quot;-&quot;??\ [$ج.م.‏-C01]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[Excel-Final-Project-NTI.xlsx]PivotTables!PivotTable1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Salary By Performance &amp;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2.8534370946822332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dLbl>
          <c:idx val="0"/>
          <c:layout>
            <c:manualLayout>
              <c:x val="3.891050583657582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dLbl>
          <c:idx val="0"/>
          <c:layout>
            <c:manualLayout>
              <c:x val="1.2970168612191959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PivotTables!$B$14:$B$15</c:f>
              <c:strCache>
                <c:ptCount val="1"/>
                <c:pt idx="0">
                  <c:v>الاسكندرية</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PivotTables!$A$16:$A$18</c:f>
              <c:strCache>
                <c:ptCount val="2"/>
                <c:pt idx="0">
                  <c:v>Decline</c:v>
                </c:pt>
                <c:pt idx="1">
                  <c:v>Improved</c:v>
                </c:pt>
              </c:strCache>
            </c:strRef>
          </c:cat>
          <c:val>
            <c:numRef>
              <c:f>PivotTables!$B$16:$B$18</c:f>
              <c:numCache>
                <c:formatCode>_-* #,##0.00\ [$ج.م.‏-C01]_-;\-* #,##0.00\ [$ج.م.‏-C01]_-;_-* "-"??\ [$ج.م.‏-C01]_-;_-@_-</c:formatCode>
                <c:ptCount val="2"/>
                <c:pt idx="0">
                  <c:v>468131</c:v>
                </c:pt>
                <c:pt idx="1">
                  <c:v>110809</c:v>
                </c:pt>
              </c:numCache>
            </c:numRef>
          </c:val>
          <c:extLst>
            <c:ext xmlns:c16="http://schemas.microsoft.com/office/drawing/2014/chart" uri="{C3380CC4-5D6E-409C-BE32-E72D297353CC}">
              <c16:uniqueId val="{00000000-0FBA-41BD-AE8C-B680F40614A7}"/>
            </c:ext>
          </c:extLst>
        </c:ser>
        <c:ser>
          <c:idx val="1"/>
          <c:order val="1"/>
          <c:tx>
            <c:strRef>
              <c:f>PivotTables!$C$14:$C$15</c:f>
              <c:strCache>
                <c:ptCount val="1"/>
                <c:pt idx="0">
                  <c:v>القاهره</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0-05E3-4B07-9122-67DE46E40B5D}"/>
              </c:ext>
            </c:extLst>
          </c:dPt>
          <c:dLbls>
            <c:dLbl>
              <c:idx val="0"/>
              <c:layout>
                <c:manualLayout>
                  <c:x val="2.8534370946822332E-2"/>
                  <c:y val="4.62962962962954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E3-4B07-9122-67DE46E40B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PivotTables!$A$16:$A$18</c:f>
              <c:strCache>
                <c:ptCount val="2"/>
                <c:pt idx="0">
                  <c:v>Decline</c:v>
                </c:pt>
                <c:pt idx="1">
                  <c:v>Improved</c:v>
                </c:pt>
              </c:strCache>
            </c:strRef>
          </c:cat>
          <c:val>
            <c:numRef>
              <c:f>PivotTables!$C$16:$C$18</c:f>
              <c:numCache>
                <c:formatCode>_-* #,##0.00\ [$ج.م.‏-C01]_-;\-* #,##0.00\ [$ج.م.‏-C01]_-;_-* "-"??\ [$ج.م.‏-C01]_-;_-@_-</c:formatCode>
                <c:ptCount val="2"/>
                <c:pt idx="0">
                  <c:v>275105</c:v>
                </c:pt>
                <c:pt idx="1">
                  <c:v>204957</c:v>
                </c:pt>
              </c:numCache>
            </c:numRef>
          </c:val>
          <c:extLst>
            <c:ext xmlns:c16="http://schemas.microsoft.com/office/drawing/2014/chart" uri="{C3380CC4-5D6E-409C-BE32-E72D297353CC}">
              <c16:uniqueId val="{00000009-0FBA-41BD-AE8C-B680F40614A7}"/>
            </c:ext>
          </c:extLst>
        </c:ser>
        <c:ser>
          <c:idx val="2"/>
          <c:order val="2"/>
          <c:tx>
            <c:strRef>
              <c:f>PivotTables!$D$14:$D$15</c:f>
              <c:strCache>
                <c:ptCount val="1"/>
                <c:pt idx="0">
                  <c:v>طنطا</c:v>
                </c:pt>
              </c:strCache>
            </c:strRef>
          </c:tx>
          <c:spPr>
            <a:solidFill>
              <a:schemeClr val="accent5">
                <a:shade val="65000"/>
              </a:schemeClr>
            </a:solidFill>
            <a:ln>
              <a:noFill/>
            </a:ln>
            <a:effectLst/>
          </c:spPr>
          <c:invertIfNegative val="0"/>
          <c:dPt>
            <c:idx val="0"/>
            <c:invertIfNegative val="0"/>
            <c:bubble3D val="0"/>
            <c:spPr>
              <a:solidFill>
                <a:schemeClr val="accent5">
                  <a:shade val="65000"/>
                </a:schemeClr>
              </a:solidFill>
              <a:ln>
                <a:noFill/>
              </a:ln>
              <a:effectLst/>
            </c:spPr>
            <c:extLst>
              <c:ext xmlns:c16="http://schemas.microsoft.com/office/drawing/2014/chart" uri="{C3380CC4-5D6E-409C-BE32-E72D297353CC}">
                <c16:uniqueId val="{00000001-05E3-4B07-9122-67DE46E40B5D}"/>
              </c:ext>
            </c:extLst>
          </c:dPt>
          <c:dPt>
            <c:idx val="1"/>
            <c:invertIfNegative val="0"/>
            <c:bubble3D val="0"/>
            <c:spPr>
              <a:solidFill>
                <a:schemeClr val="accent5">
                  <a:shade val="65000"/>
                </a:schemeClr>
              </a:solidFill>
              <a:ln>
                <a:noFill/>
              </a:ln>
              <a:effectLst/>
            </c:spPr>
            <c:extLst>
              <c:ext xmlns:c16="http://schemas.microsoft.com/office/drawing/2014/chart" uri="{C3380CC4-5D6E-409C-BE32-E72D297353CC}">
                <c16:uniqueId val="{00000002-05E3-4B07-9122-67DE46E40B5D}"/>
              </c:ext>
            </c:extLst>
          </c:dPt>
          <c:dLbls>
            <c:dLbl>
              <c:idx val="0"/>
              <c:layout>
                <c:manualLayout>
                  <c:x val="3.8910505836575827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E3-4B07-9122-67DE46E40B5D}"/>
                </c:ext>
              </c:extLst>
            </c:dLbl>
            <c:dLbl>
              <c:idx val="1"/>
              <c:layout>
                <c:manualLayout>
                  <c:x val="1.2970168612191959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E3-4B07-9122-67DE46E40B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PivotTables!$A$16:$A$18</c:f>
              <c:strCache>
                <c:ptCount val="2"/>
                <c:pt idx="0">
                  <c:v>Decline</c:v>
                </c:pt>
                <c:pt idx="1">
                  <c:v>Improved</c:v>
                </c:pt>
              </c:strCache>
            </c:strRef>
          </c:cat>
          <c:val>
            <c:numRef>
              <c:f>PivotTables!$D$16:$D$18</c:f>
              <c:numCache>
                <c:formatCode>_-* #,##0.00\ [$ج.م.‏-C01]_-;\-* #,##0.00\ [$ج.م.‏-C01]_-;_-* "-"??\ [$ج.م.‏-C01]_-;_-@_-</c:formatCode>
                <c:ptCount val="2"/>
                <c:pt idx="0">
                  <c:v>134312</c:v>
                </c:pt>
                <c:pt idx="1">
                  <c:v>55264</c:v>
                </c:pt>
              </c:numCache>
            </c:numRef>
          </c:val>
          <c:extLst>
            <c:ext xmlns:c16="http://schemas.microsoft.com/office/drawing/2014/chart" uri="{C3380CC4-5D6E-409C-BE32-E72D297353CC}">
              <c16:uniqueId val="{0000000A-0FBA-41BD-AE8C-B680F40614A7}"/>
            </c:ext>
          </c:extLst>
        </c:ser>
        <c:dLbls>
          <c:dLblPos val="outEnd"/>
          <c:showLegendKey val="0"/>
          <c:showVal val="1"/>
          <c:showCatName val="0"/>
          <c:showSerName val="0"/>
          <c:showPercent val="0"/>
          <c:showBubbleSize val="0"/>
        </c:dLbls>
        <c:gapWidth val="219"/>
        <c:overlap val="-27"/>
        <c:axId val="1754963824"/>
        <c:axId val="1754980624"/>
      </c:barChart>
      <c:catAx>
        <c:axId val="175496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80624"/>
        <c:crosses val="autoZero"/>
        <c:auto val="1"/>
        <c:lblAlgn val="ctr"/>
        <c:lblOffset val="100"/>
        <c:noMultiLvlLbl val="0"/>
      </c:catAx>
      <c:valAx>
        <c:axId val="1754980624"/>
        <c:scaling>
          <c:orientation val="minMax"/>
        </c:scaling>
        <c:delete val="1"/>
        <c:axPos val="l"/>
        <c:numFmt formatCode="_-* #,##0.00\ [$ج.م.‏-C01]_-;\-* #,##0.00\ [$ج.م.‏-C01]_-;_-* &quot;-&quot;??\ [$ج.م.‏-C01]_-;_-@_-" sourceLinked="1"/>
        <c:majorTickMark val="none"/>
        <c:minorTickMark val="none"/>
        <c:tickLblPos val="nextTo"/>
        <c:crossAx val="17549638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[Excel-Final-Project-NTI.xlsx]PivotTables!PivotTable3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Salary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0"/>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PivotTables!$B$22</c:f>
              <c:strCache>
                <c:ptCount val="1"/>
                <c:pt idx="0">
                  <c:v>Total</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0-E5CB-4EBE-8D30-0F5F49A77307}"/>
              </c:ext>
            </c:extLst>
          </c:dPt>
          <c:dLbls>
            <c:dLbl>
              <c:idx val="0"/>
              <c:layout>
                <c:manualLayout>
                  <c:x val="0"/>
                  <c:y val="-7.40740740740741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CB-4EBE-8D30-0F5F49A773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PivotTables!$A$23:$A$27</c:f>
              <c:strCache>
                <c:ptCount val="4"/>
                <c:pt idx="0">
                  <c:v>"50-60"</c:v>
                </c:pt>
                <c:pt idx="1">
                  <c:v>"40-50"</c:v>
                </c:pt>
                <c:pt idx="2">
                  <c:v>"60-70"</c:v>
                </c:pt>
                <c:pt idx="3">
                  <c:v>"30-40"</c:v>
                </c:pt>
              </c:strCache>
            </c:strRef>
          </c:cat>
          <c:val>
            <c:numRef>
              <c:f>PivotTables!$B$23:$B$27</c:f>
              <c:numCache>
                <c:formatCode>_-* #,##0.00\ [$ج.م.‏-C01]_-;\-* #,##0.00\ [$ج.م.‏-C01]_-;_-* "-"??\ [$ج.م.‏-C01]_-;_-@_-</c:formatCode>
                <c:ptCount val="4"/>
                <c:pt idx="0">
                  <c:v>554532</c:v>
                </c:pt>
                <c:pt idx="1">
                  <c:v>478564</c:v>
                </c:pt>
                <c:pt idx="2">
                  <c:v>187284</c:v>
                </c:pt>
                <c:pt idx="3">
                  <c:v>28198</c:v>
                </c:pt>
              </c:numCache>
            </c:numRef>
          </c:val>
          <c:extLst>
            <c:ext xmlns:c16="http://schemas.microsoft.com/office/drawing/2014/chart" uri="{C3380CC4-5D6E-409C-BE32-E72D297353CC}">
              <c16:uniqueId val="{00000000-9E89-4627-9259-74382240FBDF}"/>
            </c:ext>
          </c:extLst>
        </c:ser>
        <c:dLbls>
          <c:dLblPos val="outEnd"/>
          <c:showLegendKey val="0"/>
          <c:showVal val="1"/>
          <c:showCatName val="0"/>
          <c:showSerName val="0"/>
          <c:showPercent val="0"/>
          <c:showBubbleSize val="0"/>
        </c:dLbls>
        <c:gapWidth val="182"/>
        <c:axId val="1755005584"/>
        <c:axId val="1755006064"/>
      </c:barChart>
      <c:catAx>
        <c:axId val="175500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06064"/>
        <c:crosses val="autoZero"/>
        <c:auto val="1"/>
        <c:lblAlgn val="ctr"/>
        <c:lblOffset val="100"/>
        <c:noMultiLvlLbl val="0"/>
      </c:catAx>
      <c:valAx>
        <c:axId val="1755006064"/>
        <c:scaling>
          <c:orientation val="minMax"/>
        </c:scaling>
        <c:delete val="1"/>
        <c:axPos val="b"/>
        <c:numFmt formatCode="_-* #,##0.00\ [$ج.م.‏-C01]_-;\-* #,##0.00\ [$ج.م.‏-C01]_-;_-* &quot;-&quot;??\ [$ج.م.‏-C01]_-;_-@_-" sourceLinked="1"/>
        <c:majorTickMark val="none"/>
        <c:minorTickMark val="none"/>
        <c:tickLblPos val="nextTo"/>
        <c:crossAx val="175500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[Excel-Final-Project-NTI.xlsx]PivotTables!PivotTable4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PivotTables!$E$22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PivotTables!$D$23:$D$28</c:f>
              <c:strCache>
                <c:ptCount val="5"/>
                <c:pt idx="0">
                  <c:v>Finance</c:v>
                </c:pt>
                <c:pt idx="1">
                  <c:v>HR</c:v>
                </c:pt>
                <c:pt idx="2">
                  <c:v>IT</c:v>
                </c:pt>
                <c:pt idx="3">
                  <c:v>Marketing</c:v>
                </c:pt>
                <c:pt idx="4">
                  <c:v>Sales</c:v>
                </c:pt>
              </c:strCache>
            </c:strRef>
          </c:cat>
          <c:val>
            <c:numRef>
              <c:f>PivotTables!$E$23:$E$28</c:f>
              <c:numCache>
                <c:formatCode>General</c:formatCode>
                <c:ptCount val="5"/>
                <c:pt idx="0">
                  <c:v>10</c:v>
                </c:pt>
                <c:pt idx="1">
                  <c:v>23</c:v>
                </c:pt>
                <c:pt idx="2">
                  <c:v>6</c:v>
                </c:pt>
                <c:pt idx="3">
                  <c:v>18</c:v>
                </c:pt>
                <c:pt idx="4">
                  <c:v>37</c:v>
                </c:pt>
              </c:numCache>
            </c:numRef>
          </c:val>
          <c:extLst>
            <c:ext xmlns:c16="http://schemas.microsoft.com/office/drawing/2014/chart" uri="{C3380CC4-5D6E-409C-BE32-E72D297353CC}">
              <c16:uniqueId val="{00000000-B337-4A34-8892-798752651C98}"/>
            </c:ext>
          </c:extLst>
        </c:ser>
        <c:dLbls>
          <c:dLblPos val="outEnd"/>
          <c:showLegendKey val="0"/>
          <c:showVal val="1"/>
          <c:showCatName val="0"/>
          <c:showSerName val="0"/>
          <c:showPercent val="0"/>
          <c:showBubbleSize val="0"/>
        </c:dLbls>
        <c:gapWidth val="219"/>
        <c:overlap val="-27"/>
        <c:axId val="1754980144"/>
        <c:axId val="1754958064"/>
      </c:barChart>
      <c:catAx>
        <c:axId val="175498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58064"/>
        <c:crosses val="autoZero"/>
        <c:auto val="1"/>
        <c:lblAlgn val="ctr"/>
        <c:lblOffset val="100"/>
        <c:noMultiLvlLbl val="0"/>
      </c:catAx>
      <c:valAx>
        <c:axId val="1754958064"/>
        <c:scaling>
          <c:orientation val="minMax"/>
        </c:scaling>
        <c:delete val="1"/>
        <c:axPos val="l"/>
        <c:numFmt formatCode="General" sourceLinked="1"/>
        <c:majorTickMark val="none"/>
        <c:minorTickMark val="none"/>
        <c:tickLblPos val="nextTo"/>
        <c:crossAx val="175498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[Excel-Final-Project-NTI.xlsx]PivotTables!PivotTable8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#Emps By </a:t>
            </a:r>
            <a:r>
              <a:rPr lang="ar-EG" b="1"/>
              <a:t>المؤهل الدراسي</a:t>
            </a:r>
            <a:endParaRPr lang="en-US" b="1"/>
          </a:p>
        </c:rich>
      </c:tx>
      <c:overlay val="0"/>
      <c:spPr>
        <a:noFill/>
        <a:ln>
          <a:noFill/>
        </a:ln>
        <a:effectLst/>
      </c:spPr>
    </c:title>
    <c:autoTitleDeleted val="0"/>
    <c:pivotFmts>
      <c:pivotFmt>
        <c:idx val="0"/>
        <c:spPr>
          <a:solidFill>
            <a:schemeClr val="accent5"/>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marker>
          <c:symbol val="none"/>
        </c:marker>
        <c:dLbl>
          <c:idx val="0"/>
          <c:spPr>
            <a:solidFill>
              <a:schemeClr val="bg2"/>
            </a:solidFill>
            <a:ln w="3175">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5">
              <a:tint val="65000"/>
            </a:schemeClr>
          </a:solidFill>
          <a:ln w="19050">
            <a:solidFill>
              <a:schemeClr val="lt1"/>
            </a:solidFill>
          </a:ln>
          <a:effectLst/>
        </c:spPr>
        <c:dLbl>
          <c:idx val="0"/>
          <c:layout>
            <c:manualLayout>
              <c:x val="0.17222222222222211"/>
              <c:y val="-8.7962962962963048E-2"/>
            </c:manualLayout>
          </c:layout>
          <c:spPr>
            <a:solidFill>
              <a:schemeClr val="bg2"/>
            </a:solidFill>
            <a:ln w="3175">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13611111111111113"/>
              <c:y val="-5.5555555555555552E-2"/>
            </c:manualLayout>
          </c:layout>
          <c:spPr>
            <a:solidFill>
              <a:schemeClr val="bg2"/>
            </a:solidFill>
            <a:ln w="3175">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5">
              <a:shade val="65000"/>
            </a:schemeClr>
          </a:solidFill>
          <a:ln w="19050">
            <a:solidFill>
              <a:schemeClr val="lt1"/>
            </a:solidFill>
          </a:ln>
          <a:effectLst/>
        </c:spPr>
        <c:dLbl>
          <c:idx val="0"/>
          <c:layout>
            <c:manualLayout>
              <c:x val="-9.1666666666666716E-2"/>
              <c:y val="-0.11111111111111116"/>
            </c:manualLayout>
          </c:layout>
          <c:tx>
            <c:rich>
              <a:bodyPr rot="0" spcFirstLastPara="1" vertOverflow="ellipsis" vert="horz" wrap="square" lIns="38100" tIns="19050" rIns="38100" bIns="19050" anchor="ctr" anchorCtr="0">
                <a:noAutofit/>
              </a:bodyPr>
              <a:lstStyle/>
              <a:p>
                <a:pPr algn="ctr" rtl="0">
                  <a:defRPr lang="ar-EG" sz="900" b="0" i="0" u="none" strike="noStrike" kern="1200" baseline="0">
                    <a:solidFill>
                      <a:sysClr val="windowText" lastClr="000000"/>
                    </a:solidFill>
                    <a:latin typeface="+mn-lt"/>
                    <a:ea typeface="+mn-ea"/>
                    <a:cs typeface="+mn-cs"/>
                  </a:defRPr>
                </a:pPr>
                <a:fld id="{FB2228FA-DBC6-4855-B98F-C30D93280FDB}" type="CATEGORYNAME">
                  <a:rPr lang="ar-EG" sz="900" b="0" i="0" u="none" strike="noStrike" kern="1200" baseline="0">
                    <a:solidFill>
                      <a:sysClr val="windowText" lastClr="000000"/>
                    </a:solidFill>
                    <a:latin typeface="+mn-lt"/>
                    <a:ea typeface="+mn-ea"/>
                    <a:cs typeface="+mn-cs"/>
                  </a:rPr>
                  <a:pPr algn="ctr" rtl="0">
                    <a:defRPr lang="ar-EG" sz="900" b="0" i="0" u="none" strike="noStrike" kern="1200" baseline="0">
                      <a:solidFill>
                        <a:sysClr val="windowText" lastClr="000000"/>
                      </a:solidFill>
                      <a:latin typeface="+mn-lt"/>
                      <a:ea typeface="+mn-ea"/>
                      <a:cs typeface="+mn-cs"/>
                    </a:defRPr>
                  </a:pPr>
                  <a:t>[CATEGORY NAME]</a:t>
                </a:fld>
                <a:r>
                  <a:rPr lang="ar-EG" sz="900" b="0" i="0" u="none" strike="noStrike" kern="1200" baseline="0">
                    <a:solidFill>
                      <a:sysClr val="windowText" lastClr="000000"/>
                    </a:solidFill>
                    <a:latin typeface="+mn-lt"/>
                    <a:ea typeface="+mn-ea"/>
                    <a:cs typeface="+mn-cs"/>
                  </a:rPr>
                  <a:t>, </a:t>
                </a:r>
                <a:fld id="{EF0E304F-E0E1-407F-B94D-26FE29EA0B07}" type="VALUE">
                  <a:rPr lang="ar-EG" sz="900" b="0" i="0" u="none" strike="noStrike" kern="1200" baseline="0">
                    <a:solidFill>
                      <a:sysClr val="windowText" lastClr="000000"/>
                    </a:solidFill>
                    <a:latin typeface="+mn-lt"/>
                    <a:ea typeface="+mn-ea"/>
                    <a:cs typeface="+mn-cs"/>
                  </a:rPr>
                  <a:pPr algn="ctr" rtl="0">
                    <a:defRPr lang="ar-EG" sz="900" b="0" i="0" u="none" strike="noStrike" kern="1200" baseline="0">
                      <a:solidFill>
                        <a:sysClr val="windowText" lastClr="000000"/>
                      </a:solidFill>
                      <a:latin typeface="+mn-lt"/>
                      <a:ea typeface="+mn-ea"/>
                      <a:cs typeface="+mn-cs"/>
                    </a:defRPr>
                  </a:pPr>
                  <a:t>[VALUE]</a:t>
                </a:fld>
                <a:endParaRPr lang="ar-EG" sz="900" b="0" i="0" u="none" strike="noStrike" kern="1200" baseline="0">
                  <a:solidFill>
                    <a:sysClr val="windowText" lastClr="000000"/>
                  </a:solidFill>
                  <a:latin typeface="+mn-lt"/>
                  <a:ea typeface="+mn-ea"/>
                  <a:cs typeface="+mn-cs"/>
                </a:endParaRPr>
              </a:p>
            </c:rich>
          </c:tx>
          <c:spPr>
            <a:solidFill>
              <a:schemeClr val="bg2"/>
            </a:solidFill>
            <a:ln>
              <a:solidFill>
                <a:schemeClr val="accent1"/>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doughnutChart>
        <c:varyColors val="1"/>
        <c:ser>
          <c:idx val="0"/>
          <c:order val="0"/>
          <c:tx>
            <c:strRef>
              <c:f>PivotTables!$B$60</c:f>
              <c:strCache>
                <c:ptCount val="1"/>
                <c:pt idx="0">
                  <c:v>Total</c:v>
                </c:pt>
              </c:strCache>
            </c:strRef>
          </c:tx>
          <c:dPt>
            <c:idx val="0"/>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1-D543-40B7-A388-E3C026B8B0D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543-40B7-A388-E3C026B8B0D1}"/>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D543-40B7-A388-E3C026B8B0D1}"/>
              </c:ext>
            </c:extLst>
          </c:dPt>
          <c:dLbls>
            <c:dLbl>
              <c:idx val="0"/>
              <c:layout>
                <c:manualLayout>
                  <c:x val="0.17222222222222211"/>
                  <c:y val="-8.79629629629630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43-40B7-A388-E3C026B8B0D1}"/>
                </c:ext>
              </c:extLst>
            </c:dLbl>
            <c:dLbl>
              <c:idx val="1"/>
              <c:layout>
                <c:manualLayout>
                  <c:x val="-0.13611111111111113"/>
                  <c:y val="-5.55555555555555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43-40B7-A388-E3C026B8B0D1}"/>
                </c:ext>
              </c:extLst>
            </c:dLbl>
            <c:dLbl>
              <c:idx val="2"/>
              <c:layout>
                <c:manualLayout>
                  <c:x val="-9.1666666666666716E-2"/>
                  <c:y val="-0.11111111111111116"/>
                </c:manualLayout>
              </c:layout>
              <c:tx>
                <c:rich>
                  <a:bodyPr rot="0" spcFirstLastPara="1" vertOverflow="ellipsis" vert="horz" wrap="square" lIns="38100" tIns="19050" rIns="38100" bIns="19050" anchor="ctr" anchorCtr="0">
                    <a:noAutofit/>
                  </a:bodyPr>
                  <a:lstStyle/>
                  <a:p>
                    <a:pPr algn="ctr" rtl="0">
                      <a:defRPr lang="ar-EG" sz="900" b="0" i="0" u="none" strike="noStrike" kern="1200" baseline="0">
                        <a:solidFill>
                          <a:sysClr val="windowText" lastClr="000000"/>
                        </a:solidFill>
                        <a:latin typeface="+mn-lt"/>
                        <a:ea typeface="+mn-ea"/>
                        <a:cs typeface="+mn-cs"/>
                      </a:defRPr>
                    </a:pPr>
                    <a:fld id="{FB2228FA-DBC6-4855-B98F-C30D93280FDB}" type="CATEGORYNAME">
                      <a:rPr lang="ar-EG" sz="900" b="0" i="0" u="none" strike="noStrike" kern="1200" baseline="0">
                        <a:solidFill>
                          <a:sysClr val="windowText" lastClr="000000"/>
                        </a:solidFill>
                        <a:latin typeface="+mn-lt"/>
                        <a:ea typeface="+mn-ea"/>
                        <a:cs typeface="+mn-cs"/>
                      </a:rPr>
                      <a:pPr algn="ctr" rtl="0">
                        <a:defRPr lang="ar-EG" sz="900" b="0" i="0" u="none" strike="noStrike" kern="1200" baseline="0">
                          <a:solidFill>
                            <a:sysClr val="windowText" lastClr="000000"/>
                          </a:solidFill>
                          <a:latin typeface="+mn-lt"/>
                          <a:ea typeface="+mn-ea"/>
                          <a:cs typeface="+mn-cs"/>
                        </a:defRPr>
                      </a:pPr>
                      <a:t>[CATEGORY NAME]</a:t>
                    </a:fld>
                    <a:r>
                      <a:rPr lang="ar-EG" sz="900" b="0" i="0" u="none" strike="noStrike" kern="1200" baseline="0">
                        <a:solidFill>
                          <a:sysClr val="windowText" lastClr="000000"/>
                        </a:solidFill>
                        <a:latin typeface="+mn-lt"/>
                        <a:ea typeface="+mn-ea"/>
                        <a:cs typeface="+mn-cs"/>
                      </a:rPr>
                      <a:t>, </a:t>
                    </a:r>
                    <a:fld id="{EF0E304F-E0E1-407F-B94D-26FE29EA0B07}" type="VALUE">
                      <a:rPr lang="ar-EG" sz="900" b="0" i="0" u="none" strike="noStrike" kern="1200" baseline="0">
                        <a:solidFill>
                          <a:sysClr val="windowText" lastClr="000000"/>
                        </a:solidFill>
                        <a:latin typeface="+mn-lt"/>
                        <a:ea typeface="+mn-ea"/>
                        <a:cs typeface="+mn-cs"/>
                      </a:rPr>
                      <a:pPr algn="ctr" rtl="0">
                        <a:defRPr lang="ar-EG" sz="900" b="0" i="0" u="none" strike="noStrike" kern="1200" baseline="0">
                          <a:solidFill>
                            <a:sysClr val="windowText" lastClr="000000"/>
                          </a:solidFill>
                          <a:latin typeface="+mn-lt"/>
                          <a:ea typeface="+mn-ea"/>
                          <a:cs typeface="+mn-cs"/>
                        </a:defRPr>
                      </a:pPr>
                      <a:t>[VALUE]</a:t>
                    </a:fld>
                    <a:endParaRPr lang="ar-EG" sz="900" b="0" i="0" u="none" strike="noStrike" kern="1200" baseline="0">
                      <a:solidFill>
                        <a:sysClr val="windowText" lastClr="000000"/>
                      </a:solidFill>
                      <a:latin typeface="+mn-lt"/>
                      <a:ea typeface="+mn-ea"/>
                      <a:cs typeface="+mn-cs"/>
                    </a:endParaRPr>
                  </a:p>
                </c:rich>
              </c:tx>
              <c:spPr>
                <a:solidFill>
                  <a:schemeClr val="bg2"/>
                </a:solidFill>
                <a:ln>
                  <a:solidFill>
                    <a:schemeClr val="accent1"/>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5-D543-40B7-A388-E3C026B8B0D1}"/>
                </c:ext>
              </c:extLst>
            </c:dLbl>
            <c:spPr>
              <a:solidFill>
                <a:schemeClr val="bg2"/>
              </a:solidFill>
              <a:ln w="3175">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PivotTables!$A$61:$A$64</c:f>
              <c:strCache>
                <c:ptCount val="3"/>
                <c:pt idx="0">
                  <c:v>بكالوريوس</c:v>
                </c:pt>
                <c:pt idx="1">
                  <c:v>دبلوم</c:v>
                </c:pt>
                <c:pt idx="2">
                  <c:v>ماجستير</c:v>
                </c:pt>
              </c:strCache>
            </c:strRef>
          </c:cat>
          <c:val>
            <c:numRef>
              <c:f>PivotTables!$B$61:$B$64</c:f>
              <c:numCache>
                <c:formatCode>General</c:formatCode>
                <c:ptCount val="3"/>
                <c:pt idx="0">
                  <c:v>55</c:v>
                </c:pt>
                <c:pt idx="1">
                  <c:v>36</c:v>
                </c:pt>
                <c:pt idx="2">
                  <c:v>3</c:v>
                </c:pt>
              </c:numCache>
            </c:numRef>
          </c:val>
          <c:extLst>
            <c:ext xmlns:c16="http://schemas.microsoft.com/office/drawing/2014/chart" uri="{C3380CC4-5D6E-409C-BE32-E72D297353CC}">
              <c16:uniqueId val="{00000006-D543-40B7-A388-E3C026B8B0D1}"/>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[Excel-Final-Project-NTI.xlsx]PivotTables!PivotTable9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t># الموقع </a:t>
            </a:r>
            <a:r>
              <a:rPr lang="en-US" b="1"/>
              <a:t>By Job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PivotTables!$E$60</c:f>
              <c:strCache>
                <c:ptCount val="1"/>
                <c:pt idx="0">
                  <c:v>Total</c:v>
                </c:pt>
              </c:strCache>
            </c:strRef>
          </c:tx>
          <c:spPr>
            <a:solidFill>
              <a:schemeClr val="accent5"/>
            </a:solidFill>
            <a:ln>
              <a:noFill/>
            </a:ln>
            <a:effectLst/>
          </c:spPr>
          <c:invertIfNegative val="0"/>
          <c:cat>
            <c:strRef>
              <c:f>PivotTables!$D$61:$D$74</c:f>
              <c:strCache>
                <c:ptCount val="13"/>
                <c:pt idx="0">
                  <c:v>Sales rep.</c:v>
                </c:pt>
                <c:pt idx="1">
                  <c:v>Products Marketing Coordinator</c:v>
                </c:pt>
                <c:pt idx="2">
                  <c:v>Recruitment Specialsit</c:v>
                </c:pt>
                <c:pt idx="3">
                  <c:v>Accountant</c:v>
                </c:pt>
                <c:pt idx="4">
                  <c:v>HR Coordinator</c:v>
                </c:pt>
                <c:pt idx="5">
                  <c:v>HR Specialist</c:v>
                </c:pt>
                <c:pt idx="6">
                  <c:v>Software developer</c:v>
                </c:pt>
                <c:pt idx="7">
                  <c:v>Digital marketing specialist</c:v>
                </c:pt>
                <c:pt idx="8">
                  <c:v>Marketing Manager</c:v>
                </c:pt>
                <c:pt idx="9">
                  <c:v>Sales Manager</c:v>
                </c:pt>
                <c:pt idx="10">
                  <c:v>Financial Manager</c:v>
                </c:pt>
                <c:pt idx="11">
                  <c:v>HR Manager</c:v>
                </c:pt>
                <c:pt idx="12">
                  <c:v>IT Manager</c:v>
                </c:pt>
              </c:strCache>
            </c:strRef>
          </c:cat>
          <c:val>
            <c:numRef>
              <c:f>PivotTables!$E$61:$E$74</c:f>
              <c:numCache>
                <c:formatCode>General</c:formatCode>
                <c:ptCount val="13"/>
                <c:pt idx="0">
                  <c:v>36</c:v>
                </c:pt>
                <c:pt idx="1">
                  <c:v>12</c:v>
                </c:pt>
                <c:pt idx="2">
                  <c:v>10</c:v>
                </c:pt>
                <c:pt idx="3">
                  <c:v>9</c:v>
                </c:pt>
                <c:pt idx="4">
                  <c:v>6</c:v>
                </c:pt>
                <c:pt idx="5">
                  <c:v>6</c:v>
                </c:pt>
                <c:pt idx="6">
                  <c:v>5</c:v>
                </c:pt>
                <c:pt idx="7">
                  <c:v>5</c:v>
                </c:pt>
                <c:pt idx="8">
                  <c:v>1</c:v>
                </c:pt>
                <c:pt idx="9">
                  <c:v>1</c:v>
                </c:pt>
                <c:pt idx="10">
                  <c:v>1</c:v>
                </c:pt>
                <c:pt idx="11">
                  <c:v>1</c:v>
                </c:pt>
                <c:pt idx="12">
                  <c:v>1</c:v>
                </c:pt>
              </c:numCache>
            </c:numRef>
          </c:val>
          <c:extLst>
            <c:ext xmlns:c16="http://schemas.microsoft.com/office/drawing/2014/chart" uri="{C3380CC4-5D6E-409C-BE32-E72D297353CC}">
              <c16:uniqueId val="{00000000-4BA0-4BBD-ADD5-D634D03BA7CA}"/>
            </c:ext>
          </c:extLst>
        </c:ser>
        <c:dLbls>
          <c:showLegendKey val="0"/>
          <c:showVal val="0"/>
          <c:showCatName val="0"/>
          <c:showSerName val="0"/>
          <c:showPercent val="0"/>
          <c:showBubbleSize val="0"/>
        </c:dLbls>
        <c:gapWidth val="182"/>
        <c:axId val="1760735808"/>
        <c:axId val="1598593136"/>
      </c:barChart>
      <c:catAx>
        <c:axId val="176073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93136"/>
        <c:crosses val="autoZero"/>
        <c:auto val="1"/>
        <c:lblAlgn val="ctr"/>
        <c:lblOffset val="100"/>
        <c:noMultiLvlLbl val="0"/>
      </c:catAx>
      <c:valAx>
        <c:axId val="1598593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3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[Excel-Final-Project-NTI.xlsx]PivotTables!PivotTable7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#Emps By Month &amp;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PivotTables!$I$51:$I$52</c:f>
              <c:strCache>
                <c:ptCount val="1"/>
                <c:pt idx="0">
                  <c:v>Decline</c:v>
                </c:pt>
              </c:strCache>
            </c:strRef>
          </c:tx>
          <c:spPr>
            <a:solidFill>
              <a:schemeClr val="accent5">
                <a:tint val="77000"/>
              </a:schemeClr>
            </a:solidFill>
            <a:ln>
              <a:noFill/>
            </a:ln>
            <a:effectLst/>
          </c:spPr>
          <c:invertIfNegative val="0"/>
          <c:cat>
            <c:strRef>
              <c:f>PivotTables!$H$53:$H$65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PivotTables!$I$53:$I$65</c:f>
              <c:numCache>
                <c:formatCode>General</c:formatCode>
                <c:ptCount val="12"/>
                <c:pt idx="0">
                  <c:v>7</c:v>
                </c:pt>
                <c:pt idx="1">
                  <c:v>4</c:v>
                </c:pt>
                <c:pt idx="2">
                  <c:v>3</c:v>
                </c:pt>
                <c:pt idx="3">
                  <c:v>9</c:v>
                </c:pt>
                <c:pt idx="4">
                  <c:v>10</c:v>
                </c:pt>
                <c:pt idx="5">
                  <c:v>4</c:v>
                </c:pt>
                <c:pt idx="6">
                  <c:v>5</c:v>
                </c:pt>
                <c:pt idx="7">
                  <c:v>9</c:v>
                </c:pt>
                <c:pt idx="8">
                  <c:v>2</c:v>
                </c:pt>
                <c:pt idx="9">
                  <c:v>4</c:v>
                </c:pt>
                <c:pt idx="10">
                  <c:v>7</c:v>
                </c:pt>
                <c:pt idx="11">
                  <c:v>3</c:v>
                </c:pt>
              </c:numCache>
            </c:numRef>
          </c:val>
          <c:extLst>
            <c:ext xmlns:c16="http://schemas.microsoft.com/office/drawing/2014/chart" uri="{C3380CC4-5D6E-409C-BE32-E72D297353CC}">
              <c16:uniqueId val="{00000000-2004-45A8-B629-1307BBB7AC45}"/>
            </c:ext>
          </c:extLst>
        </c:ser>
        <c:ser>
          <c:idx val="1"/>
          <c:order val="1"/>
          <c:tx>
            <c:strRef>
              <c:f>PivotTables!$J$51:$J$52</c:f>
              <c:strCache>
                <c:ptCount val="1"/>
                <c:pt idx="0">
                  <c:v>Improved</c:v>
                </c:pt>
              </c:strCache>
            </c:strRef>
          </c:tx>
          <c:spPr>
            <a:solidFill>
              <a:schemeClr val="accent5">
                <a:shade val="76000"/>
              </a:schemeClr>
            </a:solidFill>
            <a:ln>
              <a:noFill/>
            </a:ln>
            <a:effectLst/>
          </c:spPr>
          <c:invertIfNegative val="0"/>
          <c:cat>
            <c:strRef>
              <c:f>PivotTables!$H$53:$H$65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PivotTables!$J$53:$J$65</c:f>
              <c:numCache>
                <c:formatCode>General</c:formatCode>
                <c:ptCount val="12"/>
                <c:pt idx="0">
                  <c:v>3</c:v>
                </c:pt>
                <c:pt idx="1">
                  <c:v>6</c:v>
                </c:pt>
                <c:pt idx="2">
                  <c:v>1</c:v>
                </c:pt>
                <c:pt idx="3">
                  <c:v>6</c:v>
                </c:pt>
                <c:pt idx="6">
                  <c:v>2</c:v>
                </c:pt>
                <c:pt idx="7">
                  <c:v>5</c:v>
                </c:pt>
                <c:pt idx="10">
                  <c:v>2</c:v>
                </c:pt>
                <c:pt idx="11">
                  <c:v>2</c:v>
                </c:pt>
              </c:numCache>
            </c:numRef>
          </c:val>
          <c:extLst>
            <c:ext xmlns:c16="http://schemas.microsoft.com/office/drawing/2014/chart" uri="{C3380CC4-5D6E-409C-BE32-E72D297353CC}">
              <c16:uniqueId val="{00000003-2004-45A8-B629-1307BBB7AC45}"/>
            </c:ext>
          </c:extLst>
        </c:ser>
        <c:dLbls>
          <c:showLegendKey val="0"/>
          <c:showVal val="0"/>
          <c:showCatName val="0"/>
          <c:showSerName val="0"/>
          <c:showPercent val="0"/>
          <c:showBubbleSize val="0"/>
        </c:dLbls>
        <c:gapWidth val="219"/>
        <c:overlap val="-27"/>
        <c:axId val="1754996464"/>
        <c:axId val="1755010384"/>
      </c:barChart>
      <c:catAx>
        <c:axId val="175499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10384"/>
        <c:crosses val="autoZero"/>
        <c:auto val="1"/>
        <c:lblAlgn val="ctr"/>
        <c:lblOffset val="100"/>
        <c:noMultiLvlLbl val="0"/>
      </c:catAx>
      <c:valAx>
        <c:axId val="175501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96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[Excel-Final-Project-NTI.xlsx]PivotTables!PivotTable5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Salary By Job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headEnd type="oval"/>
            <a:tailEnd type="arrow"/>
          </a:ln>
          <a:effectLst/>
        </c:spPr>
        <c:marker>
          <c:symbol val="x"/>
          <c:size val="8"/>
          <c:spPr>
            <a:no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PivotTables!$I$34</c:f>
              <c:strCache>
                <c:ptCount val="1"/>
                <c:pt idx="0">
                  <c:v>Total</c:v>
                </c:pt>
              </c:strCache>
            </c:strRef>
          </c:tx>
          <c:spPr>
            <a:ln w="28575" cap="rnd">
              <a:solidFill>
                <a:schemeClr val="accent5"/>
              </a:solidFill>
              <a:round/>
              <a:headEnd type="oval"/>
              <a:tailEnd type="arrow"/>
            </a:ln>
            <a:effectLst/>
          </c:spPr>
          <c:marker>
            <c:symbol val="x"/>
            <c:size val="8"/>
            <c:spPr>
              <a:noFill/>
              <a:ln w="9525">
                <a:solidFill>
                  <a:schemeClr val="accent5"/>
                </a:solidFill>
              </a:ln>
              <a:effectLst/>
            </c:spPr>
          </c:marker>
          <c:cat>
            <c:strRef>
              <c:f>PivotTables!$H$35:$H$48</c:f>
              <c:strCache>
                <c:ptCount val="13"/>
                <c:pt idx="0">
                  <c:v>Sales Manager</c:v>
                </c:pt>
                <c:pt idx="1">
                  <c:v>Financial Manager</c:v>
                </c:pt>
                <c:pt idx="2">
                  <c:v>IT Manager</c:v>
                </c:pt>
                <c:pt idx="3">
                  <c:v>Marketing Manager</c:v>
                </c:pt>
                <c:pt idx="4">
                  <c:v>HR Manager</c:v>
                </c:pt>
                <c:pt idx="5">
                  <c:v>Products Marketing Coordinator</c:v>
                </c:pt>
                <c:pt idx="6">
                  <c:v>Digital marketing specialist</c:v>
                </c:pt>
                <c:pt idx="7">
                  <c:v>Sales rep.</c:v>
                </c:pt>
                <c:pt idx="8">
                  <c:v>Accountant</c:v>
                </c:pt>
                <c:pt idx="9">
                  <c:v>HR Coordinator</c:v>
                </c:pt>
                <c:pt idx="10">
                  <c:v>Recruitment Specialsit</c:v>
                </c:pt>
                <c:pt idx="11">
                  <c:v>HR Specialist</c:v>
                </c:pt>
                <c:pt idx="12">
                  <c:v>Software developer</c:v>
                </c:pt>
              </c:strCache>
            </c:strRef>
          </c:cat>
          <c:val>
            <c:numRef>
              <c:f>PivotTables!$I$35:$I$48</c:f>
              <c:numCache>
                <c:formatCode>_-* #,##0\ [$ج.م.‏-C01]_-;\-* #,##0\ [$ج.م.‏-C01]_-;_-* "-"??\ [$ج.م.‏-C01]_-;_-@_-</c:formatCode>
                <c:ptCount val="13"/>
                <c:pt idx="0">
                  <c:v>35000</c:v>
                </c:pt>
                <c:pt idx="1">
                  <c:v>26520</c:v>
                </c:pt>
                <c:pt idx="2">
                  <c:v>25000</c:v>
                </c:pt>
                <c:pt idx="3">
                  <c:v>21575</c:v>
                </c:pt>
                <c:pt idx="4">
                  <c:v>20500</c:v>
                </c:pt>
                <c:pt idx="5">
                  <c:v>14649.083333333334</c:v>
                </c:pt>
                <c:pt idx="6">
                  <c:v>13543.6</c:v>
                </c:pt>
                <c:pt idx="7">
                  <c:v>13199.166666666666</c:v>
                </c:pt>
                <c:pt idx="8">
                  <c:v>12583</c:v>
                </c:pt>
                <c:pt idx="9">
                  <c:v>12176.666666666666</c:v>
                </c:pt>
                <c:pt idx="10">
                  <c:v>10799.5</c:v>
                </c:pt>
                <c:pt idx="11">
                  <c:v>10570</c:v>
                </c:pt>
                <c:pt idx="12">
                  <c:v>8716.7999999999993</c:v>
                </c:pt>
              </c:numCache>
            </c:numRef>
          </c:val>
          <c:smooth val="1"/>
          <c:extLst>
            <c:ext xmlns:c16="http://schemas.microsoft.com/office/drawing/2014/chart" uri="{C3380CC4-5D6E-409C-BE32-E72D297353CC}">
              <c16:uniqueId val="{00000000-4D4D-4507-A943-0C8D213D039A}"/>
            </c:ext>
          </c:extLst>
        </c:ser>
        <c:dLbls>
          <c:showLegendKey val="0"/>
          <c:showVal val="0"/>
          <c:showCatName val="0"/>
          <c:showSerName val="0"/>
          <c:showPercent val="0"/>
          <c:showBubbleSize val="0"/>
        </c:dLbls>
        <c:marker val="1"/>
        <c:smooth val="0"/>
        <c:axId val="1755165168"/>
        <c:axId val="1755166608"/>
      </c:lineChart>
      <c:catAx>
        <c:axId val="175516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166608"/>
        <c:crosses val="autoZero"/>
        <c:auto val="1"/>
        <c:lblAlgn val="ctr"/>
        <c:lblOffset val="100"/>
        <c:noMultiLvlLbl val="0"/>
      </c:catAx>
      <c:valAx>
        <c:axId val="1755166608"/>
        <c:scaling>
          <c:orientation val="minMax"/>
        </c:scaling>
        <c:delete val="0"/>
        <c:axPos val="l"/>
        <c:numFmt formatCode="_-* #,##0\ [$ج.م.‏-C01]_-;\-* #,##0\ [$ج.م.‏-C01]_-;_-* &quot;-&quot;??\ [$ج.م.‏-C01]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16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[Excel-Final-Project-NTI.xlsx]PivotTables!PivotTable13</c:name>
    <c:fmtId val="1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ar-EG"/>
              <a:t># القسم </a:t>
            </a:r>
            <a:r>
              <a:rPr lang="en-US"/>
              <a:t>By Performance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noAutofit/>
              </a:bodyPr>
              <a:lstStyle/>
              <a:p>
                <a:pPr>
                  <a:defRPr sz="1400" b="1" i="0" u="none" strike="noStrike" kern="1200" baseline="0">
                    <a:solidFill>
                      <a:schemeClr val="lt1"/>
                    </a:solidFill>
                    <a:latin typeface="+mn-lt"/>
                    <a:ea typeface="+mn-ea"/>
                    <a:cs typeface="+mn-cs"/>
                  </a:defRPr>
                </a:pPr>
                <a:fld id="{2D8A8972-E59E-402A-B05F-E2858C2A87F1}" type="PERCENTAGE">
                  <a:rPr lang="en-US" sz="1400"/>
                  <a:pPr>
                    <a:defRPr sz="1400"/>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2603011606333867"/>
                  <c:h val="9.6399710258812887E-2"/>
                </c:manualLayout>
              </c15:layout>
              <c15:dlblFieldTable/>
              <c15:showDataLabelsRange val="0"/>
            </c:ext>
          </c:extLst>
        </c:dLbl>
      </c:pivotFmt>
    </c:pivotFmts>
    <c:plotArea>
      <c:layout/>
      <c:pieChart>
        <c:varyColors val="1"/>
        <c:ser>
          <c:idx val="0"/>
          <c:order val="0"/>
          <c:tx>
            <c:strRef>
              <c:f>PivotTables!$B$67</c:f>
              <c:strCache>
                <c:ptCount val="1"/>
                <c:pt idx="0">
                  <c:v>Total</c:v>
                </c:pt>
              </c:strCache>
            </c:strRef>
          </c:tx>
          <c:dPt>
            <c:idx val="0"/>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B0A-4F79-AF12-0124A559C9AC}"/>
              </c:ext>
            </c:extLst>
          </c:dPt>
          <c:dPt>
            <c:idx val="1"/>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B0A-4F79-AF12-0124A559C9AC}"/>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B0A-4F79-AF12-0124A559C9AC}"/>
                </c:ext>
              </c:extLst>
            </c:dLbl>
            <c:dLbl>
              <c:idx val="1"/>
              <c:tx>
                <c:rich>
                  <a:bodyPr rot="0" spcFirstLastPara="1" vertOverflow="ellipsis" vert="horz" wrap="square" lIns="38100" tIns="19050" rIns="38100" bIns="19050" anchor="ctr" anchorCtr="1">
                    <a:noAutofit/>
                  </a:bodyPr>
                  <a:lstStyle/>
                  <a:p>
                    <a:pPr>
                      <a:defRPr sz="1400" b="1" i="0" u="none" strike="noStrike" kern="1200" baseline="0">
                        <a:solidFill>
                          <a:schemeClr val="lt1"/>
                        </a:solidFill>
                        <a:latin typeface="+mn-lt"/>
                        <a:ea typeface="+mn-ea"/>
                        <a:cs typeface="+mn-cs"/>
                      </a:defRPr>
                    </a:pPr>
                    <a:fld id="{2D8A8972-E59E-402A-B05F-E2858C2A87F1}" type="PERCENTAGE">
                      <a:rPr lang="en-US" sz="1400"/>
                      <a:pPr>
                        <a:defRPr sz="1400"/>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2603011606333867"/>
                      <c:h val="9.6399710258812887E-2"/>
                    </c:manualLayout>
                  </c15:layout>
                  <c15:dlblFieldTable/>
                  <c15:showDataLabelsRange val="0"/>
                </c:ext>
                <c:ext xmlns:c16="http://schemas.microsoft.com/office/drawing/2014/chart" uri="{C3380CC4-5D6E-409C-BE32-E72D297353CC}">
                  <c16:uniqueId val="{00000003-4B0A-4F79-AF12-0124A559C9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PivotTables!$A$68:$A$70</c:f>
              <c:strCache>
                <c:ptCount val="2"/>
                <c:pt idx="0">
                  <c:v>Decline</c:v>
                </c:pt>
                <c:pt idx="1">
                  <c:v>Improved</c:v>
                </c:pt>
              </c:strCache>
            </c:strRef>
          </c:cat>
          <c:val>
            <c:numRef>
              <c:f>PivotTables!$B$68:$B$70</c:f>
              <c:numCache>
                <c:formatCode>General</c:formatCode>
                <c:ptCount val="2"/>
                <c:pt idx="0">
                  <c:v>67</c:v>
                </c:pt>
                <c:pt idx="1">
                  <c:v>27</c:v>
                </c:pt>
              </c:numCache>
            </c:numRef>
          </c:val>
          <c:extLst>
            <c:ext xmlns:c16="http://schemas.microsoft.com/office/drawing/2014/chart" uri="{C3380CC4-5D6E-409C-BE32-E72D297353CC}">
              <c16:uniqueId val="{00000004-4B0A-4F79-AF12-0124A559C9A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[Excel-Final-Project-NTI.xlsx]PivotTables!PivotTable6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#Emps By Age Group &amp; Hire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PivotTables!$B$32:$B$33</c:f>
              <c:strCache>
                <c:ptCount val="1"/>
                <c:pt idx="0">
                  <c:v>"30-40"</c:v>
                </c:pt>
              </c:strCache>
            </c:strRef>
          </c:tx>
          <c:spPr>
            <a:solidFill>
              <a:schemeClr val="accent5">
                <a:shade val="58000"/>
              </a:schemeClr>
            </a:solidFill>
            <a:ln>
              <a:noFill/>
            </a:ln>
            <a:effectLst/>
          </c:spPr>
          <c:invertIfNegative val="0"/>
          <c:cat>
            <c:strRef>
              <c:f>PivotTables!$A$34:$A$56</c:f>
              <c:strCache>
                <c:ptCount val="22"/>
                <c:pt idx="0">
                  <c:v>1995</c:v>
                </c:pt>
                <c:pt idx="1">
                  <c:v>1996</c:v>
                </c:pt>
                <c:pt idx="2">
                  <c:v>1998</c:v>
                </c:pt>
                <c:pt idx="3">
                  <c:v>1999</c:v>
                </c:pt>
                <c:pt idx="4">
                  <c:v>2000</c:v>
                </c:pt>
                <c:pt idx="5">
                  <c:v>2001</c:v>
                </c:pt>
                <c:pt idx="6">
                  <c:v>2002</c:v>
                </c:pt>
                <c:pt idx="7">
                  <c:v>2003</c:v>
                </c:pt>
                <c:pt idx="8">
                  <c:v>2004</c:v>
                </c:pt>
                <c:pt idx="9">
                  <c:v>2005</c:v>
                </c:pt>
                <c:pt idx="10">
                  <c:v>2006</c:v>
                </c:pt>
                <c:pt idx="11">
                  <c:v>2007</c:v>
                </c:pt>
                <c:pt idx="12">
                  <c:v>2008</c:v>
                </c:pt>
                <c:pt idx="13">
                  <c:v>2010</c:v>
                </c:pt>
                <c:pt idx="14">
                  <c:v>2011</c:v>
                </c:pt>
                <c:pt idx="15">
                  <c:v>2012</c:v>
                </c:pt>
                <c:pt idx="16">
                  <c:v>2013</c:v>
                </c:pt>
                <c:pt idx="17">
                  <c:v>2014</c:v>
                </c:pt>
                <c:pt idx="18">
                  <c:v>2015</c:v>
                </c:pt>
                <c:pt idx="19">
                  <c:v>2016</c:v>
                </c:pt>
                <c:pt idx="20">
                  <c:v>2017</c:v>
                </c:pt>
                <c:pt idx="21">
                  <c:v>2018</c:v>
                </c:pt>
              </c:strCache>
            </c:strRef>
          </c:cat>
          <c:val>
            <c:numRef>
              <c:f>PivotTables!$B$34:$B$56</c:f>
              <c:numCache>
                <c:formatCode>General</c:formatCode>
                <c:ptCount val="22"/>
                <c:pt idx="8">
                  <c:v>1</c:v>
                </c:pt>
                <c:pt idx="19">
                  <c:v>1</c:v>
                </c:pt>
              </c:numCache>
            </c:numRef>
          </c:val>
          <c:extLst>
            <c:ext xmlns:c16="http://schemas.microsoft.com/office/drawing/2014/chart" uri="{C3380CC4-5D6E-409C-BE32-E72D297353CC}">
              <c16:uniqueId val="{00000000-8A64-4017-9A34-824BA7C51E33}"/>
            </c:ext>
          </c:extLst>
        </c:ser>
        <c:ser>
          <c:idx val="1"/>
          <c:order val="1"/>
          <c:tx>
            <c:strRef>
              <c:f>PivotTables!$C$32:$C$33</c:f>
              <c:strCache>
                <c:ptCount val="1"/>
                <c:pt idx="0">
                  <c:v>"40-50"</c:v>
                </c:pt>
              </c:strCache>
            </c:strRef>
          </c:tx>
          <c:spPr>
            <a:solidFill>
              <a:schemeClr val="accent5">
                <a:shade val="86000"/>
              </a:schemeClr>
            </a:solidFill>
            <a:ln>
              <a:noFill/>
            </a:ln>
            <a:effectLst/>
          </c:spPr>
          <c:invertIfNegative val="0"/>
          <c:cat>
            <c:strRef>
              <c:f>PivotTables!$A$34:$A$56</c:f>
              <c:strCache>
                <c:ptCount val="22"/>
                <c:pt idx="0">
                  <c:v>1995</c:v>
                </c:pt>
                <c:pt idx="1">
                  <c:v>1996</c:v>
                </c:pt>
                <c:pt idx="2">
                  <c:v>1998</c:v>
                </c:pt>
                <c:pt idx="3">
                  <c:v>1999</c:v>
                </c:pt>
                <c:pt idx="4">
                  <c:v>2000</c:v>
                </c:pt>
                <c:pt idx="5">
                  <c:v>2001</c:v>
                </c:pt>
                <c:pt idx="6">
                  <c:v>2002</c:v>
                </c:pt>
                <c:pt idx="7">
                  <c:v>2003</c:v>
                </c:pt>
                <c:pt idx="8">
                  <c:v>2004</c:v>
                </c:pt>
                <c:pt idx="9">
                  <c:v>2005</c:v>
                </c:pt>
                <c:pt idx="10">
                  <c:v>2006</c:v>
                </c:pt>
                <c:pt idx="11">
                  <c:v>2007</c:v>
                </c:pt>
                <c:pt idx="12">
                  <c:v>2008</c:v>
                </c:pt>
                <c:pt idx="13">
                  <c:v>2010</c:v>
                </c:pt>
                <c:pt idx="14">
                  <c:v>2011</c:v>
                </c:pt>
                <c:pt idx="15">
                  <c:v>2012</c:v>
                </c:pt>
                <c:pt idx="16">
                  <c:v>2013</c:v>
                </c:pt>
                <c:pt idx="17">
                  <c:v>2014</c:v>
                </c:pt>
                <c:pt idx="18">
                  <c:v>2015</c:v>
                </c:pt>
                <c:pt idx="19">
                  <c:v>2016</c:v>
                </c:pt>
                <c:pt idx="20">
                  <c:v>2017</c:v>
                </c:pt>
                <c:pt idx="21">
                  <c:v>2018</c:v>
                </c:pt>
              </c:strCache>
            </c:strRef>
          </c:cat>
          <c:val>
            <c:numRef>
              <c:f>PivotTables!$C$34:$C$56</c:f>
              <c:numCache>
                <c:formatCode>General</c:formatCode>
                <c:ptCount val="22"/>
                <c:pt idx="0">
                  <c:v>1</c:v>
                </c:pt>
                <c:pt idx="1">
                  <c:v>2</c:v>
                </c:pt>
                <c:pt idx="2">
                  <c:v>1</c:v>
                </c:pt>
                <c:pt idx="4">
                  <c:v>2</c:v>
                </c:pt>
                <c:pt idx="5">
                  <c:v>1</c:v>
                </c:pt>
                <c:pt idx="6">
                  <c:v>1</c:v>
                </c:pt>
                <c:pt idx="7">
                  <c:v>1</c:v>
                </c:pt>
                <c:pt idx="10">
                  <c:v>2</c:v>
                </c:pt>
                <c:pt idx="12">
                  <c:v>3</c:v>
                </c:pt>
                <c:pt idx="14">
                  <c:v>3</c:v>
                </c:pt>
                <c:pt idx="15">
                  <c:v>1</c:v>
                </c:pt>
                <c:pt idx="16">
                  <c:v>2</c:v>
                </c:pt>
                <c:pt idx="17">
                  <c:v>3</c:v>
                </c:pt>
                <c:pt idx="18">
                  <c:v>2</c:v>
                </c:pt>
                <c:pt idx="19">
                  <c:v>7</c:v>
                </c:pt>
                <c:pt idx="20">
                  <c:v>1</c:v>
                </c:pt>
                <c:pt idx="21">
                  <c:v>2</c:v>
                </c:pt>
              </c:numCache>
            </c:numRef>
          </c:val>
          <c:extLst>
            <c:ext xmlns:c16="http://schemas.microsoft.com/office/drawing/2014/chart" uri="{C3380CC4-5D6E-409C-BE32-E72D297353CC}">
              <c16:uniqueId val="{00000005-8A64-4017-9A34-824BA7C51E33}"/>
            </c:ext>
          </c:extLst>
        </c:ser>
        <c:ser>
          <c:idx val="2"/>
          <c:order val="2"/>
          <c:tx>
            <c:strRef>
              <c:f>PivotTables!$D$32:$D$33</c:f>
              <c:strCache>
                <c:ptCount val="1"/>
                <c:pt idx="0">
                  <c:v>"50-60"</c:v>
                </c:pt>
              </c:strCache>
            </c:strRef>
          </c:tx>
          <c:spPr>
            <a:solidFill>
              <a:schemeClr val="accent5">
                <a:tint val="86000"/>
              </a:schemeClr>
            </a:solidFill>
            <a:ln>
              <a:noFill/>
            </a:ln>
            <a:effectLst/>
          </c:spPr>
          <c:invertIfNegative val="0"/>
          <c:cat>
            <c:strRef>
              <c:f>PivotTables!$A$34:$A$56</c:f>
              <c:strCache>
                <c:ptCount val="22"/>
                <c:pt idx="0">
                  <c:v>1995</c:v>
                </c:pt>
                <c:pt idx="1">
                  <c:v>1996</c:v>
                </c:pt>
                <c:pt idx="2">
                  <c:v>1998</c:v>
                </c:pt>
                <c:pt idx="3">
                  <c:v>1999</c:v>
                </c:pt>
                <c:pt idx="4">
                  <c:v>2000</c:v>
                </c:pt>
                <c:pt idx="5">
                  <c:v>2001</c:v>
                </c:pt>
                <c:pt idx="6">
                  <c:v>2002</c:v>
                </c:pt>
                <c:pt idx="7">
                  <c:v>2003</c:v>
                </c:pt>
                <c:pt idx="8">
                  <c:v>2004</c:v>
                </c:pt>
                <c:pt idx="9">
                  <c:v>2005</c:v>
                </c:pt>
                <c:pt idx="10">
                  <c:v>2006</c:v>
                </c:pt>
                <c:pt idx="11">
                  <c:v>2007</c:v>
                </c:pt>
                <c:pt idx="12">
                  <c:v>2008</c:v>
                </c:pt>
                <c:pt idx="13">
                  <c:v>2010</c:v>
                </c:pt>
                <c:pt idx="14">
                  <c:v>2011</c:v>
                </c:pt>
                <c:pt idx="15">
                  <c:v>2012</c:v>
                </c:pt>
                <c:pt idx="16">
                  <c:v>2013</c:v>
                </c:pt>
                <c:pt idx="17">
                  <c:v>2014</c:v>
                </c:pt>
                <c:pt idx="18">
                  <c:v>2015</c:v>
                </c:pt>
                <c:pt idx="19">
                  <c:v>2016</c:v>
                </c:pt>
                <c:pt idx="20">
                  <c:v>2017</c:v>
                </c:pt>
                <c:pt idx="21">
                  <c:v>2018</c:v>
                </c:pt>
              </c:strCache>
            </c:strRef>
          </c:cat>
          <c:val>
            <c:numRef>
              <c:f>PivotTables!$D$34:$D$56</c:f>
              <c:numCache>
                <c:formatCode>General</c:formatCode>
                <c:ptCount val="22"/>
                <c:pt idx="2">
                  <c:v>1</c:v>
                </c:pt>
                <c:pt idx="5">
                  <c:v>1</c:v>
                </c:pt>
                <c:pt idx="6">
                  <c:v>1</c:v>
                </c:pt>
                <c:pt idx="7">
                  <c:v>3</c:v>
                </c:pt>
                <c:pt idx="9">
                  <c:v>1</c:v>
                </c:pt>
                <c:pt idx="10">
                  <c:v>1</c:v>
                </c:pt>
                <c:pt idx="11">
                  <c:v>3</c:v>
                </c:pt>
                <c:pt idx="12">
                  <c:v>4</c:v>
                </c:pt>
                <c:pt idx="13">
                  <c:v>2</c:v>
                </c:pt>
                <c:pt idx="14">
                  <c:v>1</c:v>
                </c:pt>
                <c:pt idx="15">
                  <c:v>1</c:v>
                </c:pt>
                <c:pt idx="16">
                  <c:v>4</c:v>
                </c:pt>
                <c:pt idx="17">
                  <c:v>7</c:v>
                </c:pt>
                <c:pt idx="18">
                  <c:v>3</c:v>
                </c:pt>
                <c:pt idx="19">
                  <c:v>7</c:v>
                </c:pt>
                <c:pt idx="21">
                  <c:v>3</c:v>
                </c:pt>
              </c:numCache>
            </c:numRef>
          </c:val>
          <c:extLst>
            <c:ext xmlns:c16="http://schemas.microsoft.com/office/drawing/2014/chart" uri="{C3380CC4-5D6E-409C-BE32-E72D297353CC}">
              <c16:uniqueId val="{00000006-8A64-4017-9A34-824BA7C51E33}"/>
            </c:ext>
          </c:extLst>
        </c:ser>
        <c:ser>
          <c:idx val="3"/>
          <c:order val="3"/>
          <c:tx>
            <c:strRef>
              <c:f>PivotTables!$E$32:$E$33</c:f>
              <c:strCache>
                <c:ptCount val="1"/>
                <c:pt idx="0">
                  <c:v>"60-70"</c:v>
                </c:pt>
              </c:strCache>
            </c:strRef>
          </c:tx>
          <c:spPr>
            <a:solidFill>
              <a:schemeClr val="accent5">
                <a:tint val="58000"/>
              </a:schemeClr>
            </a:solidFill>
            <a:ln>
              <a:noFill/>
            </a:ln>
            <a:effectLst/>
          </c:spPr>
          <c:invertIfNegative val="0"/>
          <c:cat>
            <c:strRef>
              <c:f>PivotTables!$A$34:$A$56</c:f>
              <c:strCache>
                <c:ptCount val="22"/>
                <c:pt idx="0">
                  <c:v>1995</c:v>
                </c:pt>
                <c:pt idx="1">
                  <c:v>1996</c:v>
                </c:pt>
                <c:pt idx="2">
                  <c:v>1998</c:v>
                </c:pt>
                <c:pt idx="3">
                  <c:v>1999</c:v>
                </c:pt>
                <c:pt idx="4">
                  <c:v>2000</c:v>
                </c:pt>
                <c:pt idx="5">
                  <c:v>2001</c:v>
                </c:pt>
                <c:pt idx="6">
                  <c:v>2002</c:v>
                </c:pt>
                <c:pt idx="7">
                  <c:v>2003</c:v>
                </c:pt>
                <c:pt idx="8">
                  <c:v>2004</c:v>
                </c:pt>
                <c:pt idx="9">
                  <c:v>2005</c:v>
                </c:pt>
                <c:pt idx="10">
                  <c:v>2006</c:v>
                </c:pt>
                <c:pt idx="11">
                  <c:v>2007</c:v>
                </c:pt>
                <c:pt idx="12">
                  <c:v>2008</c:v>
                </c:pt>
                <c:pt idx="13">
                  <c:v>2010</c:v>
                </c:pt>
                <c:pt idx="14">
                  <c:v>2011</c:v>
                </c:pt>
                <c:pt idx="15">
                  <c:v>2012</c:v>
                </c:pt>
                <c:pt idx="16">
                  <c:v>2013</c:v>
                </c:pt>
                <c:pt idx="17">
                  <c:v>2014</c:v>
                </c:pt>
                <c:pt idx="18">
                  <c:v>2015</c:v>
                </c:pt>
                <c:pt idx="19">
                  <c:v>2016</c:v>
                </c:pt>
                <c:pt idx="20">
                  <c:v>2017</c:v>
                </c:pt>
                <c:pt idx="21">
                  <c:v>2018</c:v>
                </c:pt>
              </c:strCache>
            </c:strRef>
          </c:cat>
          <c:val>
            <c:numRef>
              <c:f>PivotTables!$E$34:$E$56</c:f>
              <c:numCache>
                <c:formatCode>General</c:formatCode>
                <c:ptCount val="22"/>
                <c:pt idx="2">
                  <c:v>1</c:v>
                </c:pt>
                <c:pt idx="3">
                  <c:v>1</c:v>
                </c:pt>
                <c:pt idx="5">
                  <c:v>2</c:v>
                </c:pt>
                <c:pt idx="7">
                  <c:v>1</c:v>
                </c:pt>
                <c:pt idx="9">
                  <c:v>1</c:v>
                </c:pt>
                <c:pt idx="13">
                  <c:v>1</c:v>
                </c:pt>
                <c:pt idx="15">
                  <c:v>1</c:v>
                </c:pt>
                <c:pt idx="17">
                  <c:v>1</c:v>
                </c:pt>
                <c:pt idx="18">
                  <c:v>1</c:v>
                </c:pt>
                <c:pt idx="19">
                  <c:v>2</c:v>
                </c:pt>
                <c:pt idx="20">
                  <c:v>1</c:v>
                </c:pt>
                <c:pt idx="21">
                  <c:v>1</c:v>
                </c:pt>
              </c:numCache>
            </c:numRef>
          </c:val>
          <c:extLst>
            <c:ext xmlns:c16="http://schemas.microsoft.com/office/drawing/2014/chart" uri="{C3380CC4-5D6E-409C-BE32-E72D297353CC}">
              <c16:uniqueId val="{00000007-8A64-4017-9A34-824BA7C51E33}"/>
            </c:ext>
          </c:extLst>
        </c:ser>
        <c:dLbls>
          <c:showLegendKey val="0"/>
          <c:showVal val="0"/>
          <c:showCatName val="0"/>
          <c:showSerName val="0"/>
          <c:showPercent val="0"/>
          <c:showBubbleSize val="0"/>
        </c:dLbls>
        <c:gapWidth val="182"/>
        <c:axId val="129689615"/>
        <c:axId val="129685295"/>
      </c:barChart>
      <c:catAx>
        <c:axId val="12968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5295"/>
        <c:crosses val="autoZero"/>
        <c:auto val="1"/>
        <c:lblAlgn val="ctr"/>
        <c:lblOffset val="100"/>
        <c:noMultiLvlLbl val="0"/>
      </c:catAx>
      <c:valAx>
        <c:axId val="129685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96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594384</xdr:colOff>
      <xdr:row>4</xdr:row>
      <xdr:rowOff>29070</xdr:rowOff>
    </xdr:from>
    <xdr:to>
      <xdr:col>8</xdr:col>
      <xdr:colOff>164400</xdr:colOff>
      <xdr:row>26</xdr:row>
      <xdr:rowOff>35874</xdr:rowOff>
    </xdr:to>
    <xdr:grpSp>
      <xdr:nvGrpSpPr>
        <xdr:cNvPr id="6" name="Group 5">
          <a:extLst>
            <a:ext uri="{FF2B5EF4-FFF2-40B4-BE49-F238E27FC236}">
              <a16:creationId xmlns:a16="http://schemas.microsoft.com/office/drawing/2014/main" id="{D63DA446-40FE-9521-C886-DF764F91409B}"/>
            </a:ext>
          </a:extLst>
        </xdr:cNvPr>
        <xdr:cNvGrpSpPr/>
      </xdr:nvGrpSpPr>
      <xdr:grpSpPr>
        <a:xfrm>
          <a:off x="10269063" y="791070"/>
          <a:ext cx="3720194" cy="4197804"/>
          <a:chOff x="11526243" y="500942"/>
          <a:chExt cx="3718208" cy="4244894"/>
        </a:xfrm>
      </xdr:grpSpPr>
      <mc:AlternateContent xmlns:mc="http://schemas.openxmlformats.org/markup-compatibility/2006" xmlns:a14="http://schemas.microsoft.com/office/drawing/2010/main">
        <mc:Choice Requires="a14">
          <xdr:graphicFrame macro="">
            <xdr:nvGraphicFramePr>
              <xdr:cNvPr id="2" name="Years (تاريخ التعيين)">
                <a:extLst>
                  <a:ext uri="{FF2B5EF4-FFF2-40B4-BE49-F238E27FC236}">
                    <a16:creationId xmlns:a16="http://schemas.microsoft.com/office/drawing/2014/main" id="{5B053DC0-9D16-4CFF-67B6-FA4A18BD4E4B}"/>
                  </a:ext>
                </a:extLst>
              </xdr:cNvPr>
              <xdr:cNvGraphicFramePr/>
            </xdr:nvGraphicFramePr>
            <xdr:xfrm>
              <a:off x="13430144" y="500942"/>
              <a:ext cx="1814307" cy="2882803"/>
            </xdr:xfrm>
            <a:graphic>
              <a:graphicData uri="http://schemas.microsoft.com/office/drawing/2010/slicer">
                <sle:slicer xmlns:sle="http://schemas.microsoft.com/office/drawing/2010/slicer" name="Years (تاريخ التعيين)"/>
              </a:graphicData>
            </a:graphic>
          </xdr:graphicFrame>
        </mc:Choice>
        <mc:Fallback xmlns="">
          <xdr:sp macro="" textlink="">
            <xdr:nvSpPr>
              <xdr:cNvPr id="0" name=""/>
              <xdr:cNvSpPr>
                <a:spLocks noTextEdit="1"/>
              </xdr:cNvSpPr>
            </xdr:nvSpPr>
            <xdr:spPr>
              <a:xfrm>
                <a:off x="12173981" y="791070"/>
                <a:ext cx="1815276" cy="2850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الموقع">
                <a:extLst>
                  <a:ext uri="{FF2B5EF4-FFF2-40B4-BE49-F238E27FC236}">
                    <a16:creationId xmlns:a16="http://schemas.microsoft.com/office/drawing/2014/main" id="{158D64C8-C97A-DF51-5C12-784871A939A6}"/>
                  </a:ext>
                </a:extLst>
              </xdr:cNvPr>
              <xdr:cNvGraphicFramePr/>
            </xdr:nvGraphicFramePr>
            <xdr:xfrm>
              <a:off x="11553457" y="3464028"/>
              <a:ext cx="3678745" cy="1281808"/>
            </xdr:xfrm>
            <a:graphic>
              <a:graphicData uri="http://schemas.microsoft.com/office/drawing/2010/slicer">
                <sle:slicer xmlns:sle="http://schemas.microsoft.com/office/drawing/2010/slicer" name="الموقع"/>
              </a:graphicData>
            </a:graphic>
          </xdr:graphicFrame>
        </mc:Choice>
        <mc:Fallback xmlns="">
          <xdr:sp macro="" textlink="">
            <xdr:nvSpPr>
              <xdr:cNvPr id="0" name=""/>
              <xdr:cNvSpPr>
                <a:spLocks noTextEdit="1"/>
              </xdr:cNvSpPr>
            </xdr:nvSpPr>
            <xdr:spPr>
              <a:xfrm>
                <a:off x="10296292" y="3721286"/>
                <a:ext cx="3680710" cy="1267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القسم">
                <a:extLst>
                  <a:ext uri="{FF2B5EF4-FFF2-40B4-BE49-F238E27FC236}">
                    <a16:creationId xmlns:a16="http://schemas.microsoft.com/office/drawing/2014/main" id="{FB9C84BD-8636-8E02-28EE-89BF1827E7C2}"/>
                  </a:ext>
                </a:extLst>
              </xdr:cNvPr>
              <xdr:cNvGraphicFramePr/>
            </xdr:nvGraphicFramePr>
            <xdr:xfrm>
              <a:off x="11526243" y="506384"/>
              <a:ext cx="1824978" cy="2174834"/>
            </xdr:xfrm>
            <a:graphic>
              <a:graphicData uri="http://schemas.microsoft.com/office/drawing/2010/slicer">
                <sle:slicer xmlns:sle="http://schemas.microsoft.com/office/drawing/2010/slicer" name="القسم"/>
              </a:graphicData>
            </a:graphic>
          </xdr:graphicFrame>
        </mc:Choice>
        <mc:Fallback xmlns="">
          <xdr:sp macro="" textlink="">
            <xdr:nvSpPr>
              <xdr:cNvPr id="0" name=""/>
              <xdr:cNvSpPr>
                <a:spLocks noTextEdit="1"/>
              </xdr:cNvSpPr>
            </xdr:nvSpPr>
            <xdr:spPr>
              <a:xfrm>
                <a:off x="10269063" y="796452"/>
                <a:ext cx="1825953" cy="2150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Performance">
                <a:extLst>
                  <a:ext uri="{FF2B5EF4-FFF2-40B4-BE49-F238E27FC236}">
                    <a16:creationId xmlns:a16="http://schemas.microsoft.com/office/drawing/2014/main" id="{80942C91-1734-03DE-FF46-20D399963457}"/>
                  </a:ext>
                </a:extLst>
              </xdr:cNvPr>
              <xdr:cNvGraphicFramePr/>
            </xdr:nvGraphicFramePr>
            <xdr:xfrm>
              <a:off x="11539851" y="2763641"/>
              <a:ext cx="1824978" cy="633711"/>
            </xdr:xfrm>
            <a:graphic>
              <a:graphicData uri="http://schemas.microsoft.com/office/drawing/2010/slicer">
                <sle:slicer xmlns:sle="http://schemas.microsoft.com/office/drawing/2010/slicer" name="Performance"/>
              </a:graphicData>
            </a:graphic>
          </xdr:graphicFrame>
        </mc:Choice>
        <mc:Fallback xmlns="">
          <xdr:sp macro="" textlink="">
            <xdr:nvSpPr>
              <xdr:cNvPr id="0" name=""/>
              <xdr:cNvSpPr>
                <a:spLocks noTextEdit="1"/>
              </xdr:cNvSpPr>
            </xdr:nvSpPr>
            <xdr:spPr>
              <a:xfrm>
                <a:off x="10282678" y="3028668"/>
                <a:ext cx="1825953" cy="626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2000249</xdr:colOff>
      <xdr:row>0</xdr:row>
      <xdr:rowOff>0</xdr:rowOff>
    </xdr:from>
    <xdr:to>
      <xdr:col>3</xdr:col>
      <xdr:colOff>993320</xdr:colOff>
      <xdr:row>2</xdr:row>
      <xdr:rowOff>162138</xdr:rowOff>
    </xdr:to>
    <xdr:sp macro="" textlink="">
      <xdr:nvSpPr>
        <xdr:cNvPr id="24" name="TextBox 23">
          <a:extLst>
            <a:ext uri="{FF2B5EF4-FFF2-40B4-BE49-F238E27FC236}">
              <a16:creationId xmlns:a16="http://schemas.microsoft.com/office/drawing/2014/main" id="{1BF21AAB-A645-4E23-B83B-FF8F6B96E24A}"/>
            </a:ext>
          </a:extLst>
        </xdr:cNvPr>
        <xdr:cNvSpPr txBox="1"/>
      </xdr:nvSpPr>
      <xdr:spPr>
        <a:xfrm>
          <a:off x="3320142" y="0"/>
          <a:ext cx="2775857" cy="543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Data</a:t>
          </a:r>
          <a:r>
            <a:rPr lang="en-US" sz="2800" b="1" baseline="0"/>
            <a:t> Set Analysis</a:t>
          </a:r>
          <a:endParaRPr lang="en-US" sz="28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190499</xdr:rowOff>
    </xdr:from>
    <xdr:to>
      <xdr:col>9</xdr:col>
      <xdr:colOff>19050</xdr:colOff>
      <xdr:row>35</xdr:row>
      <xdr:rowOff>111124</xdr:rowOff>
    </xdr:to>
    <xdr:graphicFrame macro="">
      <xdr:nvGraphicFramePr>
        <xdr:cNvPr id="2" name="Chart 1">
          <a:extLst>
            <a:ext uri="{FF2B5EF4-FFF2-40B4-BE49-F238E27FC236}">
              <a16:creationId xmlns:a16="http://schemas.microsoft.com/office/drawing/2014/main" id="{E96848B6-1408-4485-8AD1-C985971BE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142875</xdr:colOff>
      <xdr:row>5</xdr:row>
      <xdr:rowOff>0</xdr:rowOff>
    </xdr:from>
    <xdr:to>
      <xdr:col>18</xdr:col>
      <xdr:colOff>304800</xdr:colOff>
      <xdr:row>19</xdr:row>
      <xdr:rowOff>76200</xdr:rowOff>
    </xdr:to>
    <xdr:graphicFrame macro="">
      <xdr:nvGraphicFramePr>
        <xdr:cNvPr id="3" name="Chart 2">
          <a:extLst>
            <a:ext uri="{FF2B5EF4-FFF2-40B4-BE49-F238E27FC236}">
              <a16:creationId xmlns:a16="http://schemas.microsoft.com/office/drawing/2014/main" id="{46904170-0B22-4DF8-9FA4-7F3B9C002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35</xdr:row>
      <xdr:rowOff>142875</xdr:rowOff>
    </xdr:from>
    <xdr:to>
      <xdr:col>17</xdr:col>
      <xdr:colOff>82550</xdr:colOff>
      <xdr:row>50</xdr:row>
      <xdr:rowOff>123825</xdr:rowOff>
    </xdr:to>
    <xdr:graphicFrame macro="">
      <xdr:nvGraphicFramePr>
        <xdr:cNvPr id="4" name="Chart 3">
          <a:extLst>
            <a:ext uri="{FF2B5EF4-FFF2-40B4-BE49-F238E27FC236}">
              <a16:creationId xmlns:a16="http://schemas.microsoft.com/office/drawing/2014/main" id="{C4DDA6A9-B391-47E3-80AB-0CEE58EFA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206375</xdr:colOff>
      <xdr:row>20</xdr:row>
      <xdr:rowOff>31750</xdr:rowOff>
    </xdr:from>
    <xdr:to>
      <xdr:col>16</xdr:col>
      <xdr:colOff>511175</xdr:colOff>
      <xdr:row>34</xdr:row>
      <xdr:rowOff>107950</xdr:rowOff>
    </xdr:to>
    <xdr:graphicFrame macro="">
      <xdr:nvGraphicFramePr>
        <xdr:cNvPr id="5" name="Chart 4">
          <a:extLst>
            <a:ext uri="{FF2B5EF4-FFF2-40B4-BE49-F238E27FC236}">
              <a16:creationId xmlns:a16="http://schemas.microsoft.com/office/drawing/2014/main" id="{E7332DE0-7C4D-49EC-B71E-38AB8AF8E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36</xdr:row>
      <xdr:rowOff>47625</xdr:rowOff>
    </xdr:from>
    <xdr:to>
      <xdr:col>9</xdr:col>
      <xdr:colOff>269875</xdr:colOff>
      <xdr:row>50</xdr:row>
      <xdr:rowOff>123825</xdr:rowOff>
    </xdr:to>
    <xdr:graphicFrame macro="">
      <xdr:nvGraphicFramePr>
        <xdr:cNvPr id="6" name="Chart 5">
          <a:extLst>
            <a:ext uri="{FF2B5EF4-FFF2-40B4-BE49-F238E27FC236}">
              <a16:creationId xmlns:a16="http://schemas.microsoft.com/office/drawing/2014/main" id="{1C75C97B-A58A-426B-89F5-ACF5ACBAF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206375</xdr:colOff>
      <xdr:row>5</xdr:row>
      <xdr:rowOff>46037</xdr:rowOff>
    </xdr:from>
    <xdr:to>
      <xdr:col>32</xdr:col>
      <xdr:colOff>218004</xdr:colOff>
      <xdr:row>34</xdr:row>
      <xdr:rowOff>152400</xdr:rowOff>
    </xdr:to>
    <xdr:grpSp>
      <xdr:nvGrpSpPr>
        <xdr:cNvPr id="7" name="Group 6">
          <a:extLst>
            <a:ext uri="{FF2B5EF4-FFF2-40B4-BE49-F238E27FC236}">
              <a16:creationId xmlns:a16="http://schemas.microsoft.com/office/drawing/2014/main" id="{245866AB-49C6-4EA6-99D2-EA86BDCE8589}"/>
            </a:ext>
          </a:extLst>
        </xdr:cNvPr>
        <xdr:cNvGrpSpPr/>
      </xdr:nvGrpSpPr>
      <xdr:grpSpPr>
        <a:xfrm>
          <a:off x="15965920" y="998537"/>
          <a:ext cx="3648448" cy="5630863"/>
          <a:chOff x="11526243" y="500942"/>
          <a:chExt cx="3718208" cy="4244894"/>
        </a:xfrm>
      </xdr:grpSpPr>
      <mc:AlternateContent xmlns:mc="http://schemas.openxmlformats.org/markup-compatibility/2006" xmlns:a14="http://schemas.microsoft.com/office/drawing/2010/main">
        <mc:Choice Requires="a14">
          <xdr:graphicFrame macro="">
            <xdr:nvGraphicFramePr>
              <xdr:cNvPr id="8" name="Years (تاريخ التعيين) 1">
                <a:extLst>
                  <a:ext uri="{FF2B5EF4-FFF2-40B4-BE49-F238E27FC236}">
                    <a16:creationId xmlns:a16="http://schemas.microsoft.com/office/drawing/2014/main" id="{5C9756B3-B661-C3FC-EACC-BA4F1F0E4C7D}"/>
                  </a:ext>
                </a:extLst>
              </xdr:cNvPr>
              <xdr:cNvGraphicFramePr/>
            </xdr:nvGraphicFramePr>
            <xdr:xfrm>
              <a:off x="13430144" y="500942"/>
              <a:ext cx="1814307" cy="2882803"/>
            </xdr:xfrm>
            <a:graphic>
              <a:graphicData uri="http://schemas.microsoft.com/office/drawing/2010/slicer">
                <sle:slicer xmlns:sle="http://schemas.microsoft.com/office/drawing/2010/slicer" name="Years (تاريخ التعيين) 1"/>
              </a:graphicData>
            </a:graphic>
          </xdr:graphicFrame>
        </mc:Choice>
        <mc:Fallback xmlns="">
          <xdr:sp macro="" textlink="">
            <xdr:nvSpPr>
              <xdr:cNvPr id="0" name=""/>
              <xdr:cNvSpPr>
                <a:spLocks noTextEdit="1"/>
              </xdr:cNvSpPr>
            </xdr:nvSpPr>
            <xdr:spPr>
              <a:xfrm>
                <a:off x="17834101" y="998537"/>
                <a:ext cx="1780267" cy="3824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الموقع 1">
                <a:extLst>
                  <a:ext uri="{FF2B5EF4-FFF2-40B4-BE49-F238E27FC236}">
                    <a16:creationId xmlns:a16="http://schemas.microsoft.com/office/drawing/2014/main" id="{CBDF7666-8353-655D-8A44-6040B33A4BF7}"/>
                  </a:ext>
                </a:extLst>
              </xdr:cNvPr>
              <xdr:cNvGraphicFramePr/>
            </xdr:nvGraphicFramePr>
            <xdr:xfrm>
              <a:off x="11553457" y="3464028"/>
              <a:ext cx="3678745" cy="1281808"/>
            </xdr:xfrm>
            <a:graphic>
              <a:graphicData uri="http://schemas.microsoft.com/office/drawing/2010/slicer">
                <sle:slicer xmlns:sle="http://schemas.microsoft.com/office/drawing/2010/slicer" name="الموقع 1"/>
              </a:graphicData>
            </a:graphic>
          </xdr:graphicFrame>
        </mc:Choice>
        <mc:Fallback xmlns="">
          <xdr:sp macro="" textlink="">
            <xdr:nvSpPr>
              <xdr:cNvPr id="0" name=""/>
              <xdr:cNvSpPr>
                <a:spLocks noTextEdit="1"/>
              </xdr:cNvSpPr>
            </xdr:nvSpPr>
            <xdr:spPr>
              <a:xfrm>
                <a:off x="15992623" y="4929078"/>
                <a:ext cx="3609725" cy="1700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القسم 1">
                <a:extLst>
                  <a:ext uri="{FF2B5EF4-FFF2-40B4-BE49-F238E27FC236}">
                    <a16:creationId xmlns:a16="http://schemas.microsoft.com/office/drawing/2014/main" id="{25AE4214-769C-BB3D-312F-480311338B20}"/>
                  </a:ext>
                </a:extLst>
              </xdr:cNvPr>
              <xdr:cNvGraphicFramePr/>
            </xdr:nvGraphicFramePr>
            <xdr:xfrm>
              <a:off x="11526243" y="506384"/>
              <a:ext cx="1824978" cy="2174834"/>
            </xdr:xfrm>
            <a:graphic>
              <a:graphicData uri="http://schemas.microsoft.com/office/drawing/2010/slicer">
                <sle:slicer xmlns:sle="http://schemas.microsoft.com/office/drawing/2010/slicer" name="القسم 1"/>
              </a:graphicData>
            </a:graphic>
          </xdr:graphicFrame>
        </mc:Choice>
        <mc:Fallback xmlns="">
          <xdr:sp macro="" textlink="">
            <xdr:nvSpPr>
              <xdr:cNvPr id="0" name=""/>
              <xdr:cNvSpPr>
                <a:spLocks noTextEdit="1"/>
              </xdr:cNvSpPr>
            </xdr:nvSpPr>
            <xdr:spPr>
              <a:xfrm>
                <a:off x="15965920" y="1005756"/>
                <a:ext cx="1790738" cy="2884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Performance 1">
                <a:extLst>
                  <a:ext uri="{FF2B5EF4-FFF2-40B4-BE49-F238E27FC236}">
                    <a16:creationId xmlns:a16="http://schemas.microsoft.com/office/drawing/2014/main" id="{5DB32C4C-0613-8BE4-ED77-09B3FD3E9763}"/>
                  </a:ext>
                </a:extLst>
              </xdr:cNvPr>
              <xdr:cNvGraphicFramePr/>
            </xdr:nvGraphicFramePr>
            <xdr:xfrm>
              <a:off x="11539851" y="2763641"/>
              <a:ext cx="1824978" cy="633711"/>
            </xdr:xfrm>
            <a:graphic>
              <a:graphicData uri="http://schemas.microsoft.com/office/drawing/2010/slicer">
                <sle:slicer xmlns:sle="http://schemas.microsoft.com/office/drawing/2010/slicer" name="Performance 1"/>
              </a:graphicData>
            </a:graphic>
          </xdr:graphicFrame>
        </mc:Choice>
        <mc:Fallback xmlns="">
          <xdr:sp macro="" textlink="">
            <xdr:nvSpPr>
              <xdr:cNvPr id="0" name=""/>
              <xdr:cNvSpPr>
                <a:spLocks noTextEdit="1"/>
              </xdr:cNvSpPr>
            </xdr:nvSpPr>
            <xdr:spPr>
              <a:xfrm>
                <a:off x="15979273" y="4000013"/>
                <a:ext cx="1790738" cy="840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18</xdr:col>
      <xdr:colOff>396875</xdr:colOff>
      <xdr:row>5</xdr:row>
      <xdr:rowOff>15875</xdr:rowOff>
    </xdr:from>
    <xdr:to>
      <xdr:col>26</xdr:col>
      <xdr:colOff>31750</xdr:colOff>
      <xdr:row>19</xdr:row>
      <xdr:rowOff>117337</xdr:rowOff>
    </xdr:to>
    <xdr:graphicFrame macro="">
      <xdr:nvGraphicFramePr>
        <xdr:cNvPr id="12" name="Chart 11">
          <a:extLst>
            <a:ext uri="{FF2B5EF4-FFF2-40B4-BE49-F238E27FC236}">
              <a16:creationId xmlns:a16="http://schemas.microsoft.com/office/drawing/2014/main" id="{061988AC-372E-4F42-A22C-EE97213D8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571500</xdr:colOff>
      <xdr:row>20</xdr:row>
      <xdr:rowOff>63500</xdr:rowOff>
    </xdr:from>
    <xdr:to>
      <xdr:col>26</xdr:col>
      <xdr:colOff>31750</xdr:colOff>
      <xdr:row>34</xdr:row>
      <xdr:rowOff>139700</xdr:rowOff>
    </xdr:to>
    <xdr:graphicFrame macro="">
      <xdr:nvGraphicFramePr>
        <xdr:cNvPr id="13" name="Chart 12">
          <a:extLst>
            <a:ext uri="{FF2B5EF4-FFF2-40B4-BE49-F238E27FC236}">
              <a16:creationId xmlns:a16="http://schemas.microsoft.com/office/drawing/2014/main" id="{09F84EE1-5DF5-4E6D-8C0C-7E4DB3C34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155511</xdr:colOff>
      <xdr:row>35</xdr:row>
      <xdr:rowOff>155510</xdr:rowOff>
    </xdr:from>
    <xdr:to>
      <xdr:col>22</xdr:col>
      <xdr:colOff>408215</xdr:colOff>
      <xdr:row>50</xdr:row>
      <xdr:rowOff>136072</xdr:rowOff>
    </xdr:to>
    <xdr:graphicFrame macro="">
      <xdr:nvGraphicFramePr>
        <xdr:cNvPr id="14" name="Chart 13">
          <a:extLst>
            <a:ext uri="{FF2B5EF4-FFF2-40B4-BE49-F238E27FC236}">
              <a16:creationId xmlns:a16="http://schemas.microsoft.com/office/drawing/2014/main" id="{D373C15C-9B6A-451F-823E-2F8B332CD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503006</xdr:colOff>
      <xdr:row>35</xdr:row>
      <xdr:rowOff>192640</xdr:rowOff>
    </xdr:from>
    <xdr:to>
      <xdr:col>32</xdr:col>
      <xdr:colOff>246152</xdr:colOff>
      <xdr:row>50</xdr:row>
      <xdr:rowOff>128426</xdr:rowOff>
    </xdr:to>
    <xdr:graphicFrame macro="">
      <xdr:nvGraphicFramePr>
        <xdr:cNvPr id="15" name="Chart 14">
          <a:extLst>
            <a:ext uri="{FF2B5EF4-FFF2-40B4-BE49-F238E27FC236}">
              <a16:creationId xmlns:a16="http://schemas.microsoft.com/office/drawing/2014/main" id="{6B1626EA-E1C3-4CCC-BD07-5DC150CF1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495300</xdr:colOff>
      <xdr:row>0</xdr:row>
      <xdr:rowOff>152187</xdr:rowOff>
    </xdr:from>
    <xdr:to>
      <xdr:col>4</xdr:col>
      <xdr:colOff>514349</xdr:colOff>
      <xdr:row>3</xdr:row>
      <xdr:rowOff>123825</xdr:rowOff>
    </xdr:to>
    <xdr:sp macro="" textlink="">
      <xdr:nvSpPr>
        <xdr:cNvPr id="16" name="TextBox 15">
          <a:extLst>
            <a:ext uri="{FF2B5EF4-FFF2-40B4-BE49-F238E27FC236}">
              <a16:creationId xmlns:a16="http://schemas.microsoft.com/office/drawing/2014/main" id="{4988A061-D4F3-B119-BF5D-ADFDE06F810E}"/>
            </a:ext>
          </a:extLst>
        </xdr:cNvPr>
        <xdr:cNvSpPr txBox="1"/>
      </xdr:nvSpPr>
      <xdr:spPr>
        <a:xfrm>
          <a:off x="1104900" y="152187"/>
          <a:ext cx="1847849" cy="543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Dashboard</a:t>
          </a:r>
        </a:p>
      </xdr:txBody>
    </xdr:sp>
    <xdr:clientData/>
  </xdr:twoCellAnchor>
  <xdr:twoCellAnchor>
    <xdr:from>
      <xdr:col>5</xdr:col>
      <xdr:colOff>19050</xdr:colOff>
      <xdr:row>0</xdr:row>
      <xdr:rowOff>66675</xdr:rowOff>
    </xdr:from>
    <xdr:to>
      <xdr:col>8</xdr:col>
      <xdr:colOff>9525</xdr:colOff>
      <xdr:row>4</xdr:row>
      <xdr:rowOff>76200</xdr:rowOff>
    </xdr:to>
    <xdr:sp macro="" textlink="">
      <xdr:nvSpPr>
        <xdr:cNvPr id="17" name="Rectangle: Rounded Corners 16">
          <a:extLst>
            <a:ext uri="{FF2B5EF4-FFF2-40B4-BE49-F238E27FC236}">
              <a16:creationId xmlns:a16="http://schemas.microsoft.com/office/drawing/2014/main" id="{A27E024E-C4BC-E703-5B15-3113DDC9E958}"/>
            </a:ext>
          </a:extLst>
        </xdr:cNvPr>
        <xdr:cNvSpPr/>
      </xdr:nvSpPr>
      <xdr:spPr>
        <a:xfrm>
          <a:off x="3067050" y="66675"/>
          <a:ext cx="1819275" cy="771525"/>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Salary</a:t>
          </a:r>
        </a:p>
      </xdr:txBody>
    </xdr:sp>
    <xdr:clientData/>
  </xdr:twoCellAnchor>
  <xdr:twoCellAnchor>
    <xdr:from>
      <xdr:col>8</xdr:col>
      <xdr:colOff>104775</xdr:colOff>
      <xdr:row>0</xdr:row>
      <xdr:rowOff>66675</xdr:rowOff>
    </xdr:from>
    <xdr:to>
      <xdr:col>11</xdr:col>
      <xdr:colOff>95250</xdr:colOff>
      <xdr:row>4</xdr:row>
      <xdr:rowOff>76200</xdr:rowOff>
    </xdr:to>
    <xdr:sp macro="" textlink="">
      <xdr:nvSpPr>
        <xdr:cNvPr id="18" name="Rectangle: Rounded Corners 17">
          <a:extLst>
            <a:ext uri="{FF2B5EF4-FFF2-40B4-BE49-F238E27FC236}">
              <a16:creationId xmlns:a16="http://schemas.microsoft.com/office/drawing/2014/main" id="{25A0A235-4B1D-4C81-B65D-D98CB1821588}"/>
            </a:ext>
          </a:extLst>
        </xdr:cNvPr>
        <xdr:cNvSpPr/>
      </xdr:nvSpPr>
      <xdr:spPr>
        <a:xfrm>
          <a:off x="4981575" y="66675"/>
          <a:ext cx="1819275" cy="771525"/>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Average Salary</a:t>
          </a:r>
        </a:p>
      </xdr:txBody>
    </xdr:sp>
    <xdr:clientData/>
  </xdr:twoCellAnchor>
  <xdr:twoCellAnchor>
    <xdr:from>
      <xdr:col>11</xdr:col>
      <xdr:colOff>190500</xdr:colOff>
      <xdr:row>0</xdr:row>
      <xdr:rowOff>76200</xdr:rowOff>
    </xdr:from>
    <xdr:to>
      <xdr:col>14</xdr:col>
      <xdr:colOff>180975</xdr:colOff>
      <xdr:row>4</xdr:row>
      <xdr:rowOff>85725</xdr:rowOff>
    </xdr:to>
    <xdr:sp macro="" textlink="">
      <xdr:nvSpPr>
        <xdr:cNvPr id="19" name="Rectangle: Rounded Corners 18">
          <a:extLst>
            <a:ext uri="{FF2B5EF4-FFF2-40B4-BE49-F238E27FC236}">
              <a16:creationId xmlns:a16="http://schemas.microsoft.com/office/drawing/2014/main" id="{7E3BAA71-149E-4829-9517-5C8AE3F2AD74}"/>
            </a:ext>
          </a:extLst>
        </xdr:cNvPr>
        <xdr:cNvSpPr/>
      </xdr:nvSpPr>
      <xdr:spPr>
        <a:xfrm>
          <a:off x="6896100" y="76200"/>
          <a:ext cx="1819275" cy="771525"/>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#Employees</a:t>
          </a:r>
        </a:p>
      </xdr:txBody>
    </xdr:sp>
    <xdr:clientData/>
  </xdr:twoCellAnchor>
  <xdr:twoCellAnchor>
    <xdr:from>
      <xdr:col>5</xdr:col>
      <xdr:colOff>323850</xdr:colOff>
      <xdr:row>2</xdr:row>
      <xdr:rowOff>38100</xdr:rowOff>
    </xdr:from>
    <xdr:to>
      <xdr:col>7</xdr:col>
      <xdr:colOff>342901</xdr:colOff>
      <xdr:row>3</xdr:row>
      <xdr:rowOff>104775</xdr:rowOff>
    </xdr:to>
    <xdr:sp macro="" textlink="PivotTables!C77">
      <xdr:nvSpPr>
        <xdr:cNvPr id="22" name="TextBox 21">
          <a:extLst>
            <a:ext uri="{FF2B5EF4-FFF2-40B4-BE49-F238E27FC236}">
              <a16:creationId xmlns:a16="http://schemas.microsoft.com/office/drawing/2014/main" id="{3C52C976-EA62-3EF6-2F2D-ABA12CF470A7}"/>
            </a:ext>
          </a:extLst>
        </xdr:cNvPr>
        <xdr:cNvSpPr txBox="1"/>
      </xdr:nvSpPr>
      <xdr:spPr>
        <a:xfrm>
          <a:off x="3371850" y="419100"/>
          <a:ext cx="12382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039F6F-1A5A-4641-96AF-1119A20AA9B6}" type="TxLink">
            <a:rPr lang="en-US" sz="1600" b="0" i="0" u="none" strike="noStrike">
              <a:solidFill>
                <a:schemeClr val="bg1"/>
              </a:solidFill>
              <a:latin typeface="Aptos Narrow"/>
            </a:rPr>
            <a:pPr algn="ctr"/>
            <a:t> 1,248,578 ج.م.‏ </a:t>
          </a:fld>
          <a:endParaRPr lang="en-US" sz="1600">
            <a:solidFill>
              <a:schemeClr val="bg1"/>
            </a:solidFill>
          </a:endParaRPr>
        </a:p>
      </xdr:txBody>
    </xdr:sp>
    <xdr:clientData/>
  </xdr:twoCellAnchor>
  <xdr:twoCellAnchor>
    <xdr:from>
      <xdr:col>8</xdr:col>
      <xdr:colOff>352425</xdr:colOff>
      <xdr:row>2</xdr:row>
      <xdr:rowOff>38100</xdr:rowOff>
    </xdr:from>
    <xdr:to>
      <xdr:col>10</xdr:col>
      <xdr:colOff>371476</xdr:colOff>
      <xdr:row>3</xdr:row>
      <xdr:rowOff>104775</xdr:rowOff>
    </xdr:to>
    <xdr:sp macro="" textlink="PivotTables!D77">
      <xdr:nvSpPr>
        <xdr:cNvPr id="23" name="TextBox 22">
          <a:extLst>
            <a:ext uri="{FF2B5EF4-FFF2-40B4-BE49-F238E27FC236}">
              <a16:creationId xmlns:a16="http://schemas.microsoft.com/office/drawing/2014/main" id="{55E26CDF-0E53-4AE1-82EB-BE7BAC745320}"/>
            </a:ext>
          </a:extLst>
        </xdr:cNvPr>
        <xdr:cNvSpPr txBox="1"/>
      </xdr:nvSpPr>
      <xdr:spPr>
        <a:xfrm>
          <a:off x="5229225" y="419100"/>
          <a:ext cx="12382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851E27-6BB2-4591-A853-AC58D98845E4}" type="TxLink">
            <a:rPr lang="en-US" sz="1600" b="0" i="0" u="none" strike="noStrike">
              <a:solidFill>
                <a:schemeClr val="bg1"/>
              </a:solidFill>
              <a:latin typeface="Aptos Narrow"/>
              <a:ea typeface="+mn-ea"/>
              <a:cs typeface="+mn-cs"/>
            </a:rPr>
            <a:pPr marL="0" indent="0" algn="ctr"/>
            <a:t> 13,282.74 ج.م.‏ </a:t>
          </a:fld>
          <a:endParaRPr lang="en-US" sz="1600" b="0" i="0" u="none" strike="noStrike">
            <a:solidFill>
              <a:schemeClr val="bg1"/>
            </a:solidFill>
            <a:latin typeface="Aptos Narrow"/>
            <a:ea typeface="+mn-ea"/>
            <a:cs typeface="+mn-cs"/>
          </a:endParaRPr>
        </a:p>
      </xdr:txBody>
    </xdr:sp>
    <xdr:clientData/>
  </xdr:twoCellAnchor>
  <xdr:twoCellAnchor>
    <xdr:from>
      <xdr:col>11</xdr:col>
      <xdr:colOff>485775</xdr:colOff>
      <xdr:row>2</xdr:row>
      <xdr:rowOff>47625</xdr:rowOff>
    </xdr:from>
    <xdr:to>
      <xdr:col>13</xdr:col>
      <xdr:colOff>504826</xdr:colOff>
      <xdr:row>3</xdr:row>
      <xdr:rowOff>114300</xdr:rowOff>
    </xdr:to>
    <xdr:sp macro="" textlink="PivotTables!E77">
      <xdr:nvSpPr>
        <xdr:cNvPr id="24" name="TextBox 23">
          <a:extLst>
            <a:ext uri="{FF2B5EF4-FFF2-40B4-BE49-F238E27FC236}">
              <a16:creationId xmlns:a16="http://schemas.microsoft.com/office/drawing/2014/main" id="{A5D10D6D-E393-4C66-BAA3-1A14E3DE2AFC}"/>
            </a:ext>
          </a:extLst>
        </xdr:cNvPr>
        <xdr:cNvSpPr txBox="1"/>
      </xdr:nvSpPr>
      <xdr:spPr>
        <a:xfrm>
          <a:off x="7191375" y="428625"/>
          <a:ext cx="12382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C75011-93F5-4DB8-8476-B996D8689E60}" type="TxLink">
            <a:rPr lang="en-US" sz="1600" b="0" i="0" u="none" strike="noStrike">
              <a:solidFill>
                <a:schemeClr val="bg1"/>
              </a:solidFill>
              <a:latin typeface="Aptos Narrow"/>
              <a:ea typeface="+mn-ea"/>
              <a:cs typeface="+mn-cs"/>
            </a:rPr>
            <a:pPr marL="0" indent="0" algn="ctr"/>
            <a:t>94</a:t>
          </a:fld>
          <a:endParaRPr lang="en-US" sz="1600" b="0" i="0" u="none" strike="noStrike">
            <a:solidFill>
              <a:schemeClr val="bg1"/>
            </a:solidFill>
            <a:latin typeface="Aptos Narrow"/>
            <a:ea typeface="+mn-ea"/>
            <a:cs typeface="+mn-cs"/>
          </a:endParaRPr>
        </a:p>
      </xdr:txBody>
    </xdr:sp>
    <xdr:clientData/>
  </xdr:twoCellAnchor>
  <xdr:twoCellAnchor editAs="oneCell">
    <xdr:from>
      <xdr:col>0</xdr:col>
      <xdr:colOff>514350</xdr:colOff>
      <xdr:row>0</xdr:row>
      <xdr:rowOff>171450</xdr:rowOff>
    </xdr:from>
    <xdr:to>
      <xdr:col>1</xdr:col>
      <xdr:colOff>514354</xdr:colOff>
      <xdr:row>4</xdr:row>
      <xdr:rowOff>46269</xdr:rowOff>
    </xdr:to>
    <xdr:pic>
      <xdr:nvPicPr>
        <xdr:cNvPr id="26" name="Picture 25">
          <a:extLst>
            <a:ext uri="{FF2B5EF4-FFF2-40B4-BE49-F238E27FC236}">
              <a16:creationId xmlns:a16="http://schemas.microsoft.com/office/drawing/2014/main" id="{6696392F-2433-05C4-E97B-B00E161FBCB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14350" y="171450"/>
          <a:ext cx="609604" cy="6368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bdelfatah" refreshedDate="46150.882160995374" createdVersion="8" refreshedVersion="8" minRefreshableVersion="3" recordCount="94" xr:uid="{898DE615-4B5A-4C9D-958A-E88A2A8958F9}">
  <cacheSource type="worksheet">
    <worksheetSource name="All_Data"/>
  </cacheSource>
  <cacheFields count="20">
    <cacheField name="المسلسل" numFmtId="0">
      <sharedItems/>
    </cacheField>
    <cacheField name="الرقم الوظيفي" numFmtId="0">
      <sharedItems/>
    </cacheField>
    <cacheField name="اسم الموظف" numFmtId="0">
      <sharedItems/>
    </cacheField>
    <cacheField name="الوظيفة" numFmtId="0">
      <sharedItems count="13">
        <s v="Sales Manager"/>
        <s v="Sales rep."/>
        <s v="Financial Manager"/>
        <s v="Accountant"/>
        <s v="HR Manager"/>
        <s v="HR Specialist"/>
        <s v="Recruitment Specialsit"/>
        <s v="HR Coordinator"/>
        <s v="IT Manager"/>
        <s v="Software developer"/>
        <s v="Marketing Manager"/>
        <s v="Digital marketing specialist"/>
        <s v="Products Marketing Coordinator"/>
      </sharedItems>
    </cacheField>
    <cacheField name="القسم" numFmtId="0">
      <sharedItems containsBlank="1" count="7">
        <s v="Sales"/>
        <s v="Finance"/>
        <s v="HR"/>
        <s v="IT"/>
        <s v="Marketing"/>
        <s v="Unkown" u="1"/>
        <m u="1"/>
      </sharedItems>
    </cacheField>
    <cacheField name="الموقع" numFmtId="0">
      <sharedItems count="3">
        <s v="القاهره"/>
        <s v="الاسكندرية"/>
        <s v="طنطا"/>
      </sharedItems>
    </cacheField>
    <cacheField name="تاريخ التعيين" numFmtId="14">
      <sharedItems containsSemiMixedTypes="0" containsNonDate="0" containsDate="1" containsString="0" minDate="1995-11-26T00:00:00" maxDate="2018-12-30T00:00:00" count="81">
        <d v="2000-08-03T00:00:00"/>
        <d v="2010-07-03T00:00:00"/>
        <d v="2015-11-18T00:00:00"/>
        <d v="2011-05-25T00:00:00"/>
        <d v="2011-07-02T00:00:00"/>
        <d v="2013-08-12T00:00:00"/>
        <d v="2014-09-23T00:00:00"/>
        <d v="2014-10-11T00:00:00"/>
        <d v="2015-04-11T00:00:00"/>
        <d v="2016-04-09T00:00:00"/>
        <d v="2016-02-17T00:00:00"/>
        <d v="2018-01-21T00:00:00"/>
        <d v="1999-06-01T00:00:00"/>
        <d v="2004-05-08T00:00:00"/>
        <d v="2011-11-03T00:00:00"/>
        <d v="1998-03-14T00:00:00"/>
        <d v="2006-08-01T00:00:00"/>
        <d v="2007-03-03T00:00:00"/>
        <d v="2016-07-25T00:00:00"/>
        <d v="2014-11-08T00:00:00"/>
        <d v="2012-02-13T00:00:00"/>
        <d v="2015-02-01T00:00:00"/>
        <d v="2016-04-16T00:00:00"/>
        <d v="1996-06-01T00:00:00"/>
        <d v="1996-11-20T00:00:00"/>
        <d v="1998-06-20T00:00:00"/>
        <d v="2001-01-13T00:00:00"/>
        <d v="2012-10-09T00:00:00"/>
        <d v="2013-04-14T00:00:00"/>
        <d v="2013-11-16T00:00:00"/>
        <d v="2014-04-01T00:00:00"/>
        <d v="2014-05-12T00:00:00"/>
        <d v="2013-08-13T00:00:00"/>
        <d v="2016-04-17T00:00:00"/>
        <d v="2001-08-28T00:00:00"/>
        <d v="2016-04-02T00:00:00"/>
        <d v="2017-12-02T00:00:00"/>
        <d v="2018-12-10T00:00:00"/>
        <d v="2016-02-03T00:00:00"/>
        <d v="2007-01-20T00:00:00"/>
        <d v="2006-11-15T00:00:00"/>
        <d v="2001-08-18T00:00:00"/>
        <d v="2003-05-17T00:00:00"/>
        <d v="2008-06-01T00:00:00"/>
        <d v="2016-05-01T00:00:00"/>
        <d v="2016-05-25T00:00:00"/>
        <d v="2016-08-15T00:00:00"/>
        <d v="1995-11-26T00:00:00"/>
        <d v="1998-03-01T00:00:00"/>
        <d v="2000-01-19T00:00:00"/>
        <d v="2001-08-15T00:00:00"/>
        <d v="2002-07-23T00:00:00"/>
        <d v="2014-04-19T00:00:00"/>
        <d v="2014-12-04T00:00:00"/>
        <d v="2015-02-18T00:00:00"/>
        <d v="2006-04-09T00:00:00"/>
        <d v="2007-08-04T00:00:00"/>
        <d v="2008-10-04T00:00:00"/>
        <d v="2010-01-02T00:00:00"/>
        <d v="2002-01-26T00:00:00"/>
        <d v="2003-12-20T00:00:00"/>
        <d v="2005-02-20T00:00:00"/>
        <d v="2008-11-15T00:00:00"/>
        <d v="2014-04-20T00:00:00"/>
        <d v="2003-07-15T00:00:00"/>
        <d v="2016-08-16T00:00:00"/>
        <d v="2011-05-17T00:00:00"/>
        <d v="2012-01-11T00:00:00"/>
        <d v="2005-02-15T00:00:00"/>
        <d v="2010-04-24T00:00:00"/>
        <d v="2016-04-23T00:00:00"/>
        <d v="2016-04-30T00:00:00"/>
        <d v="2017-04-08T00:00:00"/>
        <d v="2013-09-10T00:00:00"/>
        <d v="2008-08-11T00:00:00"/>
        <d v="2015-03-21T00:00:00"/>
        <d v="2008-07-12T00:00:00"/>
        <d v="2018-12-29T00:00:00"/>
        <d v="2003-02-24T00:00:00"/>
        <d v="2014-05-24T00:00:00"/>
        <d v="2008-08-09T00:00:00"/>
      </sharedItems>
      <fieldGroup par="19"/>
    </cacheField>
    <cacheField name="تاريخ الميلاد" numFmtId="14">
      <sharedItems containsSemiMixedTypes="0" containsNonDate="0" containsDate="1" containsString="0" minDate="1959-05-25T00:00:00" maxDate="1989-08-24T00:00:00"/>
    </cacheField>
    <cacheField name="المؤهل الدراسي" numFmtId="0">
      <sharedItems count="3">
        <s v="بكالوريوس"/>
        <s v="دبلوم"/>
        <s v="ماجستير"/>
      </sharedItems>
    </cacheField>
    <cacheField name="الراتب" numFmtId="0">
      <sharedItems containsSemiMixedTypes="0" containsString="0" containsNumber="1" containsInteger="1" minValue="1428" maxValue="35000"/>
    </cacheField>
    <cacheField name="PER 2019" numFmtId="0">
      <sharedItems containsSemiMixedTypes="0" containsString="0" containsNumber="1" minValue="0.75" maxValue="0.89"/>
    </cacheField>
    <cacheField name="PER 2020" numFmtId="0">
      <sharedItems containsSemiMixedTypes="0" containsString="0" containsNumber="1" minValue="0.4" maxValue="0.97"/>
    </cacheField>
    <cacheField name="Age" numFmtId="164">
      <sharedItems containsSemiMixedTypes="0" containsNonDate="0" containsDate="1" containsString="0" minDate="1936-09-14T00:00:00" maxDate="1966-12-15T00:00:00"/>
    </cacheField>
    <cacheField name="Total Years" numFmtId="0">
      <sharedItems containsSemiMixedTypes="0" containsString="0" containsNumber="1" containsInteger="1" minValue="37" maxValue="67"/>
    </cacheField>
    <cacheField name="Age Group" numFmtId="0">
      <sharedItems count="4">
        <s v="&quot;40-50&quot;"/>
        <s v="&quot;50-60&quot;"/>
        <s v="&quot;60-70&quot;"/>
        <s v="&quot;30-40&quot;"/>
      </sharedItems>
    </cacheField>
    <cacheField name="Growth %" numFmtId="0">
      <sharedItems containsSemiMixedTypes="0" containsString="0" containsNumber="1" minValue="-53.932584269662918" maxValue="27.631578947368418"/>
    </cacheField>
    <cacheField name="Performance" numFmtId="0">
      <sharedItems count="2">
        <s v="Decline"/>
        <s v="Improved"/>
      </sharedItems>
    </cacheField>
    <cacheField name="Months (تاريخ التعيين)" numFmtId="0" databaseField="0">
      <fieldGroup base="6">
        <rangePr groupBy="months" startDate="1995-11-26T00:00:00" endDate="2018-12-30T00:00:00"/>
        <groupItems count="14">
          <s v="&lt;11/26/1995"/>
          <s v="Jan"/>
          <s v="Feb"/>
          <s v="Mar"/>
          <s v="Apr"/>
          <s v="May"/>
          <s v="Jun"/>
          <s v="Jul"/>
          <s v="Aug"/>
          <s v="Sep"/>
          <s v="Oct"/>
          <s v="Nov"/>
          <s v="Dec"/>
          <s v="&gt;12/30/2018"/>
        </groupItems>
      </fieldGroup>
    </cacheField>
    <cacheField name="Quarters (تاريخ التعيين)" numFmtId="0" databaseField="0">
      <fieldGroup base="6">
        <rangePr groupBy="quarters" startDate="1995-11-26T00:00:00" endDate="2018-12-30T00:00:00"/>
        <groupItems count="6">
          <s v="&lt;11/26/1995"/>
          <s v="Qtr1"/>
          <s v="Qtr2"/>
          <s v="Qtr3"/>
          <s v="Qtr4"/>
          <s v="&gt;12/30/2018"/>
        </groupItems>
      </fieldGroup>
    </cacheField>
    <cacheField name="Years (تاريخ التعيين)" numFmtId="0" databaseField="0">
      <fieldGroup base="6">
        <rangePr groupBy="years" startDate="1995-11-26T00:00:00" endDate="2018-12-30T00:00:00"/>
        <groupItems count="26">
          <s v="&lt;11/26/1995"/>
          <s v="1995"/>
          <s v="1996"/>
          <s v="1997"/>
          <s v="1998"/>
          <s v="1999"/>
          <s v="2000"/>
          <s v="2001"/>
          <s v="2002"/>
          <s v="2003"/>
          <s v="2004"/>
          <s v="2005"/>
          <s v="2006"/>
          <s v="2007"/>
          <s v="2008"/>
          <s v="2009"/>
          <s v="2010"/>
          <s v="2011"/>
          <s v="2012"/>
          <s v="2013"/>
          <s v="2014"/>
          <s v="2015"/>
          <s v="2016"/>
          <s v="2017"/>
          <s v="2018"/>
          <s v="&gt;12/30/2018"/>
        </groupItems>
      </fieldGroup>
    </cacheField>
  </cacheFields>
  <extLst>
    <ext xmlns:x14="http://schemas.microsoft.com/office/spreadsheetml/2009/9/main" uri="{725AE2AE-9491-48be-B2B4-4EB974FC3084}">
      <x14:pivotCacheDefinition pivotCacheId="927345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s v="5"/>
    <s v="27375"/>
    <s v="أحمد سمير"/>
    <x v="0"/>
    <x v="0"/>
    <x v="0"/>
    <x v="0"/>
    <d v="1980-03-01T00:00:00"/>
    <x v="0"/>
    <n v="35000"/>
    <n v="0.89"/>
    <n v="0.52"/>
    <d v="1946-03-08T00:00:00"/>
    <n v="46"/>
    <x v="0"/>
    <n v="-41.573033707865171"/>
    <x v="0"/>
  </r>
  <r>
    <s v="10"/>
    <s v="30377"/>
    <s v="هدي محمد"/>
    <x v="1"/>
    <x v="0"/>
    <x v="1"/>
    <x v="1"/>
    <d v="1969-12-13T00:00:00"/>
    <x v="1"/>
    <n v="17456"/>
    <n v="0.87"/>
    <n v="0.97"/>
    <d v="1956-05-25T00:00:00"/>
    <n v="56"/>
    <x v="1"/>
    <n v="11.494252873563216"/>
    <x v="1"/>
  </r>
  <r>
    <s v="11"/>
    <s v="29369"/>
    <s v="أشرف أحمد"/>
    <x v="1"/>
    <x v="0"/>
    <x v="1"/>
    <x v="2"/>
    <d v="1978-11-13T00:00:00"/>
    <x v="1"/>
    <n v="7943"/>
    <n v="0.75"/>
    <n v="0.7"/>
    <d v="1947-06-25T00:00:00"/>
    <n v="48"/>
    <x v="0"/>
    <n v="-6.6666666666666723"/>
    <x v="0"/>
  </r>
  <r>
    <s v="16"/>
    <s v="27142"/>
    <s v="تامر خالد"/>
    <x v="1"/>
    <x v="0"/>
    <x v="1"/>
    <x v="3"/>
    <d v="1971-06-18T00:00:00"/>
    <x v="1"/>
    <n v="16613"/>
    <n v="0.84"/>
    <n v="0.42"/>
    <d v="1954-11-20T00:00:00"/>
    <n v="55"/>
    <x v="1"/>
    <n v="-50"/>
    <x v="0"/>
  </r>
  <r>
    <s v="17"/>
    <s v="27650"/>
    <s v="حازم أحمد"/>
    <x v="1"/>
    <x v="0"/>
    <x v="1"/>
    <x v="4"/>
    <d v="1979-12-05T00:00:00"/>
    <x v="1"/>
    <n v="6329"/>
    <n v="0.81"/>
    <n v="0.71"/>
    <d v="1946-06-03T00:00:00"/>
    <n v="46"/>
    <x v="0"/>
    <n v="-12.345679012345689"/>
    <x v="0"/>
  </r>
  <r>
    <s v="18"/>
    <s v="25906"/>
    <s v="يوسف أحمد"/>
    <x v="1"/>
    <x v="0"/>
    <x v="0"/>
    <x v="5"/>
    <d v="1981-03-19T00:00:00"/>
    <x v="1"/>
    <n v="17215"/>
    <n v="0.8"/>
    <n v="0.87"/>
    <d v="1945-02-18T00:00:00"/>
    <n v="45"/>
    <x v="0"/>
    <n v="8.7499999999999947"/>
    <x v="1"/>
  </r>
  <r>
    <s v="19"/>
    <s v="26439"/>
    <s v="أحمد فريد"/>
    <x v="1"/>
    <x v="0"/>
    <x v="2"/>
    <x v="6"/>
    <d v="1969-01-10T00:00:00"/>
    <x v="1"/>
    <n v="4799"/>
    <n v="0.86"/>
    <n v="0.64"/>
    <d v="1957-04-27T00:00:00"/>
    <n v="57"/>
    <x v="1"/>
    <n v="-25.581395348837205"/>
    <x v="0"/>
  </r>
  <r>
    <s v="20"/>
    <s v="26438"/>
    <s v="نورهان أحمد"/>
    <x v="1"/>
    <x v="0"/>
    <x v="2"/>
    <x v="7"/>
    <d v="1969-01-07T00:00:00"/>
    <x v="1"/>
    <n v="18547"/>
    <n v="0.82"/>
    <n v="0.65"/>
    <d v="1957-04-30T00:00:00"/>
    <n v="57"/>
    <x v="1"/>
    <n v="-20.731707317073162"/>
    <x v="0"/>
  </r>
  <r>
    <s v="21"/>
    <s v="31456"/>
    <s v="منه محمود"/>
    <x v="1"/>
    <x v="0"/>
    <x v="1"/>
    <x v="8"/>
    <d v="1963-10-28T00:00:00"/>
    <x v="1"/>
    <n v="4649"/>
    <n v="0.75"/>
    <n v="0.78"/>
    <d v="1962-07-11T00:00:00"/>
    <n v="63"/>
    <x v="2"/>
    <n v="4.0000000000000036"/>
    <x v="1"/>
  </r>
  <r>
    <s v="22"/>
    <s v="27141"/>
    <s v="منه أحمد"/>
    <x v="1"/>
    <x v="0"/>
    <x v="0"/>
    <x v="8"/>
    <d v="1984-05-06T00:00:00"/>
    <x v="1"/>
    <n v="15173"/>
    <n v="0.85"/>
    <n v="0.96"/>
    <d v="1942-01-01T00:00:00"/>
    <n v="42"/>
    <x v="0"/>
    <n v="12.941176470588234"/>
    <x v="1"/>
  </r>
  <r>
    <s v="23"/>
    <s v="26448"/>
    <s v="هند بهاء"/>
    <x v="1"/>
    <x v="0"/>
    <x v="0"/>
    <x v="9"/>
    <d v="1983-06-20T00:00:00"/>
    <x v="1"/>
    <n v="18240"/>
    <n v="0.89"/>
    <n v="0.61"/>
    <d v="1942-11-18T00:00:00"/>
    <n v="43"/>
    <x v="0"/>
    <n v="-31.460674157303377"/>
    <x v="0"/>
  </r>
  <r>
    <s v="31"/>
    <s v="26437"/>
    <s v="مارك يوسف"/>
    <x v="1"/>
    <x v="0"/>
    <x v="0"/>
    <x v="7"/>
    <d v="1976-08-16T00:00:00"/>
    <x v="1"/>
    <n v="3445"/>
    <n v="0.78"/>
    <n v="0.65"/>
    <d v="1949-09-21T00:00:00"/>
    <n v="50"/>
    <x v="1"/>
    <n v="-16.666666666666664"/>
    <x v="0"/>
  </r>
  <r>
    <s v="32"/>
    <s v="27960"/>
    <s v="يحيي هادي"/>
    <x v="1"/>
    <x v="0"/>
    <x v="1"/>
    <x v="10"/>
    <d v="1964-09-21T00:00:00"/>
    <x v="1"/>
    <n v="13889"/>
    <n v="0.85"/>
    <n v="0.61"/>
    <d v="1961-08-16T00:00:00"/>
    <n v="62"/>
    <x v="2"/>
    <n v="-28.235294117647058"/>
    <x v="0"/>
  </r>
  <r>
    <s v="37"/>
    <s v="27003"/>
    <s v="نغم محمد"/>
    <x v="1"/>
    <x v="0"/>
    <x v="0"/>
    <x v="11"/>
    <d v="1980-02-05T00:00:00"/>
    <x v="1"/>
    <n v="23467"/>
    <n v="0.79"/>
    <n v="0.95"/>
    <d v="1946-04-02T00:00:00"/>
    <n v="46"/>
    <x v="0"/>
    <n v="20.253164556962012"/>
    <x v="1"/>
  </r>
  <r>
    <s v="38"/>
    <s v="26440"/>
    <s v="محمد أحمد"/>
    <x v="1"/>
    <x v="0"/>
    <x v="1"/>
    <x v="11"/>
    <d v="1977-08-27T00:00:00"/>
    <x v="1"/>
    <n v="2486"/>
    <n v="0.83"/>
    <n v="0.67"/>
    <d v="1948-09-10T00:00:00"/>
    <n v="49"/>
    <x v="0"/>
    <n v="-19.277108433734931"/>
    <x v="0"/>
  </r>
  <r>
    <s v="39"/>
    <s v="26433"/>
    <s v="أحمد حسن"/>
    <x v="1"/>
    <x v="0"/>
    <x v="1"/>
    <x v="11"/>
    <d v="1964-04-30T00:00:00"/>
    <x v="1"/>
    <n v="9365"/>
    <n v="0.84"/>
    <n v="0.4"/>
    <d v="1962-01-07T00:00:00"/>
    <n v="62"/>
    <x v="2"/>
    <n v="-52.380952380952372"/>
    <x v="0"/>
  </r>
  <r>
    <s v="40"/>
    <s v="31457"/>
    <s v="محمد علاء"/>
    <x v="1"/>
    <x v="0"/>
    <x v="0"/>
    <x v="12"/>
    <d v="1964-06-04T00:00:00"/>
    <x v="1"/>
    <n v="22438"/>
    <n v="0.82"/>
    <n v="0.56999999999999995"/>
    <d v="1961-12-03T00:00:00"/>
    <n v="62"/>
    <x v="2"/>
    <n v="-30.487804878048781"/>
    <x v="0"/>
  </r>
  <r>
    <s v="41"/>
    <s v="27648"/>
    <s v="علي محمد"/>
    <x v="1"/>
    <x v="0"/>
    <x v="0"/>
    <x v="13"/>
    <d v="1989-08-23T00:00:00"/>
    <x v="1"/>
    <n v="20869"/>
    <n v="0.77"/>
    <n v="0.41"/>
    <d v="1936-09-14T00:00:00"/>
    <n v="37"/>
    <x v="3"/>
    <n v="-46.753246753246756"/>
    <x v="0"/>
  </r>
  <r>
    <s v="42"/>
    <s v="27858"/>
    <s v="أحمد سمير"/>
    <x v="1"/>
    <x v="0"/>
    <x v="1"/>
    <x v="14"/>
    <d v="1978-05-11T00:00:00"/>
    <x v="1"/>
    <n v="1428"/>
    <n v="0.87"/>
    <n v="0.96"/>
    <d v="1947-12-28T00:00:00"/>
    <n v="48"/>
    <x v="0"/>
    <n v="10.344827586206893"/>
    <x v="1"/>
  </r>
  <r>
    <s v="43"/>
    <s v="26444"/>
    <s v="مهاب أسامة"/>
    <x v="1"/>
    <x v="0"/>
    <x v="0"/>
    <x v="15"/>
    <d v="1978-10-19T00:00:00"/>
    <x v="1"/>
    <n v="16767"/>
    <n v="0.84"/>
    <n v="0.69"/>
    <d v="1947-07-20T00:00:00"/>
    <n v="48"/>
    <x v="0"/>
    <n v="-17.857142857142861"/>
    <x v="0"/>
  </r>
  <r>
    <s v="51"/>
    <s v="28126"/>
    <s v="عبد الرحمن محمد"/>
    <x v="1"/>
    <x v="0"/>
    <x v="0"/>
    <x v="16"/>
    <d v="1977-02-10T00:00:00"/>
    <x v="1"/>
    <n v="12122"/>
    <n v="0.76"/>
    <n v="0.67"/>
    <d v="1949-03-27T00:00:00"/>
    <n v="49"/>
    <x v="0"/>
    <n v="-11.84210526315789"/>
    <x v="0"/>
  </r>
  <r>
    <s v="52"/>
    <s v="26413"/>
    <s v="تامر خالد"/>
    <x v="1"/>
    <x v="0"/>
    <x v="1"/>
    <x v="17"/>
    <d v="1969-06-02T00:00:00"/>
    <x v="1"/>
    <n v="24004"/>
    <n v="0.81"/>
    <n v="0.77"/>
    <d v="1956-12-05T00:00:00"/>
    <n v="57"/>
    <x v="1"/>
    <n v="-4.9382716049382758"/>
    <x v="0"/>
  </r>
  <r>
    <s v="59"/>
    <s v="26347"/>
    <s v="هند بهاء"/>
    <x v="1"/>
    <x v="0"/>
    <x v="1"/>
    <x v="18"/>
    <d v="1989-04-01T00:00:00"/>
    <x v="1"/>
    <n v="7329"/>
    <n v="0.86"/>
    <n v="0.61"/>
    <d v="1937-02-05T00:00:00"/>
    <n v="37"/>
    <x v="3"/>
    <n v="-29.069767441860467"/>
    <x v="0"/>
  </r>
  <r>
    <s v="60"/>
    <s v="26430"/>
    <s v="محمد راضي"/>
    <x v="1"/>
    <x v="0"/>
    <x v="1"/>
    <x v="19"/>
    <d v="1970-08-23T00:00:00"/>
    <x v="1"/>
    <n v="20603"/>
    <n v="0.88"/>
    <n v="0.76"/>
    <d v="1955-09-15T00:00:00"/>
    <n v="56"/>
    <x v="1"/>
    <n v="-13.636363636363635"/>
    <x v="0"/>
  </r>
  <r>
    <s v="72"/>
    <s v="26991"/>
    <s v="محمد أحمد"/>
    <x v="1"/>
    <x v="0"/>
    <x v="0"/>
    <x v="20"/>
    <d v="1980-02-05T00:00:00"/>
    <x v="1"/>
    <n v="18091"/>
    <n v="0.84"/>
    <n v="0.91"/>
    <d v="1946-04-02T00:00:00"/>
    <n v="46"/>
    <x v="0"/>
    <n v="8.333333333333341"/>
    <x v="1"/>
  </r>
  <r>
    <s v="73"/>
    <s v="27618"/>
    <s v="أحمد حسن"/>
    <x v="1"/>
    <x v="0"/>
    <x v="0"/>
    <x v="21"/>
    <d v="1972-03-04T00:00:00"/>
    <x v="1"/>
    <n v="21390"/>
    <n v="0.76"/>
    <n v="0.89"/>
    <d v="1954-03-05T00:00:00"/>
    <n v="54"/>
    <x v="1"/>
    <n v="17.105263157894736"/>
    <x v="1"/>
  </r>
  <r>
    <s v="78"/>
    <s v="28166"/>
    <s v="الاء أحمد"/>
    <x v="1"/>
    <x v="0"/>
    <x v="1"/>
    <x v="22"/>
    <d v="1983-08-08T00:00:00"/>
    <x v="1"/>
    <n v="13943"/>
    <n v="0.78"/>
    <n v="0.78"/>
    <d v="1942-09-30T00:00:00"/>
    <n v="43"/>
    <x v="0"/>
    <n v="0"/>
    <x v="0"/>
  </r>
  <r>
    <s v="79"/>
    <s v="27004"/>
    <s v="كامل عصام"/>
    <x v="1"/>
    <x v="0"/>
    <x v="1"/>
    <x v="23"/>
    <d v="1977-02-01T00:00:00"/>
    <x v="1"/>
    <n v="9011"/>
    <n v="0.79"/>
    <n v="0.46"/>
    <d v="1949-04-05T00:00:00"/>
    <n v="49"/>
    <x v="0"/>
    <n v="-41.77215189873418"/>
    <x v="0"/>
  </r>
  <r>
    <s v="80"/>
    <s v="27649"/>
    <s v="هدي محمد"/>
    <x v="1"/>
    <x v="0"/>
    <x v="1"/>
    <x v="24"/>
    <d v="1979-04-25T00:00:00"/>
    <x v="1"/>
    <n v="5390"/>
    <n v="0.81"/>
    <n v="0.4"/>
    <d v="1947-01-13T00:00:00"/>
    <n v="47"/>
    <x v="0"/>
    <n v="-50.617283950617285"/>
    <x v="0"/>
  </r>
  <r>
    <s v="81"/>
    <s v="26998"/>
    <s v="أشرف أحمد"/>
    <x v="1"/>
    <x v="0"/>
    <x v="1"/>
    <x v="25"/>
    <d v="1976-01-15T00:00:00"/>
    <x v="1"/>
    <n v="19015"/>
    <n v="0.84"/>
    <n v="0.65"/>
    <d v="1950-04-23T00:00:00"/>
    <n v="50"/>
    <x v="1"/>
    <n v="-22.619047619047613"/>
    <x v="0"/>
  </r>
  <r>
    <s v="82"/>
    <s v="31455"/>
    <s v="خالد محمد"/>
    <x v="1"/>
    <x v="0"/>
    <x v="2"/>
    <x v="26"/>
    <d v="1979-09-26T00:00:00"/>
    <x v="1"/>
    <n v="8138"/>
    <n v="0.82"/>
    <n v="0.83"/>
    <d v="1946-08-12T00:00:00"/>
    <n v="47"/>
    <x v="0"/>
    <n v="1.2195121951219523"/>
    <x v="1"/>
  </r>
  <r>
    <s v="89"/>
    <s v="26425"/>
    <s v="أحمد فريد"/>
    <x v="1"/>
    <x v="0"/>
    <x v="2"/>
    <x v="27"/>
    <d v="1972-05-20T00:00:00"/>
    <x v="1"/>
    <n v="5061"/>
    <n v="0.75"/>
    <n v="0.67"/>
    <d v="1953-12-18T00:00:00"/>
    <n v="54"/>
    <x v="1"/>
    <n v="-10.666666666666663"/>
    <x v="0"/>
  </r>
  <r>
    <s v="90"/>
    <s v="26421"/>
    <s v="نورهان أحمد"/>
    <x v="1"/>
    <x v="0"/>
    <x v="0"/>
    <x v="28"/>
    <d v="1973-11-24T00:00:00"/>
    <x v="1"/>
    <n v="8005"/>
    <n v="0.85"/>
    <n v="0.75"/>
    <d v="1952-06-13T00:00:00"/>
    <n v="52"/>
    <x v="1"/>
    <n v="-11.764705882352938"/>
    <x v="0"/>
  </r>
  <r>
    <s v="91"/>
    <s v="26419"/>
    <s v="منه محمود"/>
    <x v="1"/>
    <x v="0"/>
    <x v="1"/>
    <x v="29"/>
    <d v="1970-03-28T00:00:00"/>
    <x v="1"/>
    <n v="7002"/>
    <n v="0.87"/>
    <n v="0.6"/>
    <d v="1956-02-10T00:00:00"/>
    <n v="56"/>
    <x v="1"/>
    <n v="-31.03448275862069"/>
    <x v="0"/>
  </r>
  <r>
    <s v="92"/>
    <s v="28927"/>
    <s v="منه أحمد"/>
    <x v="1"/>
    <x v="0"/>
    <x v="0"/>
    <x v="30"/>
    <d v="1969-02-20T00:00:00"/>
    <x v="1"/>
    <n v="23284"/>
    <n v="0.75"/>
    <n v="0.84"/>
    <d v="1957-03-17T00:00:00"/>
    <n v="57"/>
    <x v="1"/>
    <n v="11.999999999999995"/>
    <x v="1"/>
  </r>
  <r>
    <s v="93"/>
    <s v="26748"/>
    <s v="هند بهاء"/>
    <x v="1"/>
    <x v="0"/>
    <x v="0"/>
    <x v="31"/>
    <d v="1982-02-03T00:00:00"/>
    <x v="1"/>
    <n v="20019"/>
    <n v="0.89"/>
    <n v="0.78"/>
    <d v="1944-04-03T00:00:00"/>
    <n v="44"/>
    <x v="0"/>
    <n v="-12.359550561797752"/>
    <x v="0"/>
  </r>
  <r>
    <s v="94"/>
    <s v="27494"/>
    <s v="محمد راضي"/>
    <x v="1"/>
    <x v="0"/>
    <x v="1"/>
    <x v="31"/>
    <d v="1978-10-29T00:00:00"/>
    <x v="1"/>
    <n v="11645"/>
    <n v="0.8"/>
    <n v="0.62"/>
    <d v="1947-07-10T00:00:00"/>
    <n v="48"/>
    <x v="0"/>
    <n v="-22.500000000000007"/>
    <x v="0"/>
  </r>
  <r>
    <s v="4"/>
    <s v="29769"/>
    <s v="علي محمد"/>
    <x v="2"/>
    <x v="1"/>
    <x v="0"/>
    <x v="32"/>
    <d v="1972-07-14T00:00:00"/>
    <x v="2"/>
    <n v="26520"/>
    <n v="0.81"/>
    <n v="0.66"/>
    <d v="1953-10-24T00:00:00"/>
    <n v="54"/>
    <x v="1"/>
    <n v="-18.518518518518519"/>
    <x v="0"/>
  </r>
  <r>
    <s v="12"/>
    <s v="26401"/>
    <s v="خالد محمد"/>
    <x v="3"/>
    <x v="1"/>
    <x v="0"/>
    <x v="33"/>
    <d v="1970-05-29T00:00:00"/>
    <x v="0"/>
    <n v="16455"/>
    <n v="0.75"/>
    <n v="0.92"/>
    <d v="1955-12-10T00:00:00"/>
    <n v="56"/>
    <x v="1"/>
    <n v="22.666666666666671"/>
    <x v="1"/>
  </r>
  <r>
    <s v="13"/>
    <s v="26435"/>
    <s v="نسمة كامل"/>
    <x v="3"/>
    <x v="1"/>
    <x v="2"/>
    <x v="34"/>
    <d v="1962-09-21T00:00:00"/>
    <x v="0"/>
    <n v="4981"/>
    <n v="0.77"/>
    <n v="0.86"/>
    <d v="1963-08-17T00:00:00"/>
    <n v="64"/>
    <x v="2"/>
    <n v="11.688311688311684"/>
    <x v="1"/>
  </r>
  <r>
    <s v="33"/>
    <s v="26410"/>
    <s v="تغريد يحيي"/>
    <x v="3"/>
    <x v="1"/>
    <x v="2"/>
    <x v="10"/>
    <d v="1975-08-20T00:00:00"/>
    <x v="0"/>
    <n v="3165"/>
    <n v="0.84"/>
    <n v="0.78"/>
    <d v="1950-09-18T00:00:00"/>
    <n v="51"/>
    <x v="1"/>
    <n v="-7.142857142857137"/>
    <x v="0"/>
  </r>
  <r>
    <s v="34"/>
    <s v="27385"/>
    <s v="حسن أحمد"/>
    <x v="3"/>
    <x v="1"/>
    <x v="1"/>
    <x v="35"/>
    <d v="1967-11-09T00:00:00"/>
    <x v="0"/>
    <n v="20883"/>
    <n v="0.85"/>
    <n v="0.76"/>
    <d v="1958-06-29T00:00:00"/>
    <n v="59"/>
    <x v="1"/>
    <n v="-10.588235294117645"/>
    <x v="0"/>
  </r>
  <r>
    <s v="61"/>
    <s v="26389"/>
    <s v="مؤمن محمد"/>
    <x v="3"/>
    <x v="1"/>
    <x v="0"/>
    <x v="36"/>
    <d v="1959-05-25T00:00:00"/>
    <x v="0"/>
    <n v="13380"/>
    <n v="0.8"/>
    <n v="0.72"/>
    <d v="1966-12-14T00:00:00"/>
    <n v="67"/>
    <x v="2"/>
    <n v="-10.000000000000009"/>
    <x v="0"/>
  </r>
  <r>
    <s v="62"/>
    <s v="30459"/>
    <s v="حسين ياسر"/>
    <x v="3"/>
    <x v="1"/>
    <x v="2"/>
    <x v="37"/>
    <d v="1969-08-23T00:00:00"/>
    <x v="0"/>
    <n v="18856"/>
    <n v="0.81"/>
    <n v="0.48"/>
    <d v="1956-09-14T00:00:00"/>
    <n v="57"/>
    <x v="1"/>
    <n v="-40.740740740740748"/>
    <x v="0"/>
  </r>
  <r>
    <s v="74"/>
    <s v="27780"/>
    <s v="محمد علاء"/>
    <x v="3"/>
    <x v="1"/>
    <x v="2"/>
    <x v="38"/>
    <d v="1983-05-09T00:00:00"/>
    <x v="0"/>
    <n v="13891"/>
    <n v="0.86"/>
    <n v="0.97"/>
    <d v="1942-12-30T00:00:00"/>
    <n v="43"/>
    <x v="0"/>
    <n v="12.790697674418603"/>
    <x v="1"/>
  </r>
  <r>
    <s v="75"/>
    <s v="25907"/>
    <s v="علي محمد"/>
    <x v="3"/>
    <x v="1"/>
    <x v="1"/>
    <x v="10"/>
    <d v="1977-02-01T00:00:00"/>
    <x v="0"/>
    <n v="19451"/>
    <n v="0.77"/>
    <n v="0.63"/>
    <d v="1949-04-05T00:00:00"/>
    <n v="49"/>
    <x v="0"/>
    <n v="-18.181818181818183"/>
    <x v="0"/>
  </r>
  <r>
    <s v="86"/>
    <s v="27144"/>
    <s v="تامر خالد"/>
    <x v="3"/>
    <x v="1"/>
    <x v="0"/>
    <x v="39"/>
    <d v="1967-12-01T00:00:00"/>
    <x v="0"/>
    <n v="2185"/>
    <n v="0.79"/>
    <n v="0.65"/>
    <d v="1958-06-07T00:00:00"/>
    <n v="58"/>
    <x v="1"/>
    <n v="-17.721518987341771"/>
    <x v="0"/>
  </r>
  <r>
    <s v="1"/>
    <s v="26434"/>
    <s v="أحمد حسن"/>
    <x v="4"/>
    <x v="2"/>
    <x v="1"/>
    <x v="40"/>
    <d v="1980-11-12T00:00:00"/>
    <x v="0"/>
    <n v="20500"/>
    <n v="0.82"/>
    <n v="0.86"/>
    <d v="1945-06-25T00:00:00"/>
    <n v="46"/>
    <x v="0"/>
    <n v="4.8780487804878092"/>
    <x v="1"/>
  </r>
  <r>
    <s v="6"/>
    <s v="27154"/>
    <s v="مهاب أسامة"/>
    <x v="5"/>
    <x v="2"/>
    <x v="1"/>
    <x v="41"/>
    <d v="1966-07-08T00:00:00"/>
    <x v="0"/>
    <n v="17233"/>
    <n v="0.89"/>
    <n v="0.41"/>
    <d v="1959-10-31T00:00:00"/>
    <n v="60"/>
    <x v="2"/>
    <n v="-53.932584269662918"/>
    <x v="0"/>
  </r>
  <r>
    <s v="7"/>
    <s v="27008"/>
    <s v="ايمان علي سلامة"/>
    <x v="6"/>
    <x v="2"/>
    <x v="2"/>
    <x v="42"/>
    <d v="1982-09-01T00:00:00"/>
    <x v="0"/>
    <n v="19987"/>
    <n v="0.76"/>
    <n v="0.55000000000000004"/>
    <d v="1943-09-06T00:00:00"/>
    <n v="44"/>
    <x v="0"/>
    <n v="-27.631578947368418"/>
    <x v="0"/>
  </r>
  <r>
    <s v="8"/>
    <s v="27621"/>
    <s v="الاء أحمد"/>
    <x v="7"/>
    <x v="2"/>
    <x v="0"/>
    <x v="43"/>
    <d v="1981-02-08T00:00:00"/>
    <x v="0"/>
    <n v="23537"/>
    <n v="0.87"/>
    <n v="0.69"/>
    <d v="1945-03-29T00:00:00"/>
    <n v="45"/>
    <x v="0"/>
    <n v="-20.689655172413797"/>
    <x v="0"/>
  </r>
  <r>
    <s v="26"/>
    <s v="27374"/>
    <s v="مؤمن محمد"/>
    <x v="6"/>
    <x v="2"/>
    <x v="1"/>
    <x v="44"/>
    <d v="1975-07-28T00:00:00"/>
    <x v="0"/>
    <n v="7935"/>
    <n v="0.83"/>
    <n v="0.41"/>
    <d v="1950-10-11T00:00:00"/>
    <n v="51"/>
    <x v="1"/>
    <n v="-50.602409638554214"/>
    <x v="0"/>
  </r>
  <r>
    <s v="27"/>
    <s v="29368"/>
    <s v="حسين ياسر"/>
    <x v="5"/>
    <x v="2"/>
    <x v="2"/>
    <x v="45"/>
    <d v="1973-11-14T00:00:00"/>
    <x v="0"/>
    <n v="20121"/>
    <n v="0.8"/>
    <n v="0.64"/>
    <d v="1952-06-23T00:00:00"/>
    <n v="53"/>
    <x v="1"/>
    <n v="-20.000000000000004"/>
    <x v="0"/>
  </r>
  <r>
    <s v="28"/>
    <s v="27092"/>
    <s v="فادي نور"/>
    <x v="6"/>
    <x v="2"/>
    <x v="1"/>
    <x v="46"/>
    <d v="1981-04-12T00:00:00"/>
    <x v="0"/>
    <n v="16408"/>
    <n v="0.76"/>
    <n v="0.91"/>
    <d v="1945-01-25T00:00:00"/>
    <n v="45"/>
    <x v="0"/>
    <n v="19.736842105263161"/>
    <x v="1"/>
  </r>
  <r>
    <s v="29"/>
    <s v="26429"/>
    <s v="نور يحيي"/>
    <x v="7"/>
    <x v="2"/>
    <x v="2"/>
    <x v="47"/>
    <d v="1982-08-15T00:00:00"/>
    <x v="0"/>
    <n v="2323"/>
    <n v="0.83"/>
    <n v="0.75"/>
    <d v="1943-09-23T00:00:00"/>
    <n v="44"/>
    <x v="0"/>
    <n v="-9.6385542168674654"/>
    <x v="0"/>
  </r>
  <r>
    <s v="46"/>
    <s v="26994"/>
    <s v="هدي محمد"/>
    <x v="6"/>
    <x v="2"/>
    <x v="1"/>
    <x v="48"/>
    <d v="1965-12-15T00:00:00"/>
    <x v="0"/>
    <n v="6553"/>
    <n v="0.75"/>
    <n v="0.75"/>
    <d v="1960-05-23T00:00:00"/>
    <n v="60"/>
    <x v="2"/>
    <n v="0"/>
    <x v="0"/>
  </r>
  <r>
    <s v="47"/>
    <s v="27007"/>
    <s v="أشرف أحمد"/>
    <x v="5"/>
    <x v="2"/>
    <x v="1"/>
    <x v="49"/>
    <d v="1977-10-25T00:00:00"/>
    <x v="0"/>
    <n v="13054"/>
    <n v="0.82"/>
    <n v="0.48"/>
    <d v="1948-07-13T00:00:00"/>
    <n v="49"/>
    <x v="0"/>
    <n v="-41.463414634146339"/>
    <x v="0"/>
  </r>
  <r>
    <s v="48"/>
    <s v="26424"/>
    <s v="خالد محمد"/>
    <x v="6"/>
    <x v="2"/>
    <x v="1"/>
    <x v="50"/>
    <d v="1974-04-11T00:00:00"/>
    <x v="0"/>
    <n v="20909"/>
    <n v="0.88"/>
    <n v="0.46"/>
    <d v="1952-01-27T00:00:00"/>
    <n v="52"/>
    <x v="1"/>
    <n v="-47.727272727272727"/>
    <x v="0"/>
  </r>
  <r>
    <s v="49"/>
    <s v="26415"/>
    <s v="نسمة كامل"/>
    <x v="7"/>
    <x v="2"/>
    <x v="2"/>
    <x v="51"/>
    <d v="1969-08-12T00:00:00"/>
    <x v="0"/>
    <n v="23771"/>
    <n v="0.88"/>
    <n v="0.63"/>
    <d v="1956-09-25T00:00:00"/>
    <n v="57"/>
    <x v="1"/>
    <n v="-28.40909090909091"/>
    <x v="0"/>
  </r>
  <r>
    <s v="54"/>
    <s v="27143"/>
    <s v="يوسف أحمد"/>
    <x v="6"/>
    <x v="2"/>
    <x v="1"/>
    <x v="52"/>
    <d v="1969-08-19T00:00:00"/>
    <x v="0"/>
    <n v="8529"/>
    <n v="0.83"/>
    <n v="0.77"/>
    <d v="1956-09-18T00:00:00"/>
    <n v="57"/>
    <x v="1"/>
    <n v="-7.2289156626505955"/>
    <x v="0"/>
  </r>
  <r>
    <s v="55"/>
    <s v="27393"/>
    <s v="أحمد فريد"/>
    <x v="5"/>
    <x v="2"/>
    <x v="0"/>
    <x v="53"/>
    <d v="1980-11-02T00:00:00"/>
    <x v="0"/>
    <n v="3453"/>
    <n v="0.87"/>
    <n v="0.83"/>
    <d v="1945-07-05T00:00:00"/>
    <n v="46"/>
    <x v="0"/>
    <n v="-4.5977011494252915"/>
    <x v="0"/>
  </r>
  <r>
    <s v="56"/>
    <s v="30351"/>
    <s v="نورهان أحمد"/>
    <x v="6"/>
    <x v="2"/>
    <x v="0"/>
    <x v="54"/>
    <d v="1974-03-10T00:00:00"/>
    <x v="0"/>
    <n v="14170"/>
    <n v="0.77"/>
    <n v="0.89"/>
    <d v="1952-02-28T00:00:00"/>
    <n v="52"/>
    <x v="1"/>
    <n v="15.584415584415584"/>
    <x v="1"/>
  </r>
  <r>
    <s v="57"/>
    <s v="26441"/>
    <s v="منه محمود"/>
    <x v="7"/>
    <x v="2"/>
    <x v="2"/>
    <x v="46"/>
    <d v="1984-11-01T00:00:00"/>
    <x v="0"/>
    <n v="3254"/>
    <n v="0.81"/>
    <n v="0.85"/>
    <d v="1941-07-06T00:00:00"/>
    <n v="42"/>
    <x v="0"/>
    <n v="4.9382716049382616"/>
    <x v="1"/>
  </r>
  <r>
    <s v="67"/>
    <s v="27009"/>
    <s v="يحيي هادي"/>
    <x v="6"/>
    <x v="2"/>
    <x v="0"/>
    <x v="55"/>
    <d v="1967-11-05T00:00:00"/>
    <x v="0"/>
    <n v="5735"/>
    <n v="0.82"/>
    <n v="0.69"/>
    <d v="1958-07-03T00:00:00"/>
    <n v="59"/>
    <x v="1"/>
    <n v="-15.853658536585366"/>
    <x v="0"/>
  </r>
  <r>
    <s v="68"/>
    <s v="26428"/>
    <s v="تغريد يحيي"/>
    <x v="5"/>
    <x v="2"/>
    <x v="0"/>
    <x v="56"/>
    <d v="1970-01-04T00:00:00"/>
    <x v="0"/>
    <n v="2725"/>
    <n v="0.8"/>
    <n v="0.54"/>
    <d v="1956-05-03T00:00:00"/>
    <n v="56"/>
    <x v="1"/>
    <n v="-32.5"/>
    <x v="0"/>
  </r>
  <r>
    <s v="69"/>
    <s v="26417"/>
    <s v="حسن أحمد"/>
    <x v="6"/>
    <x v="2"/>
    <x v="1"/>
    <x v="57"/>
    <d v="1971-02-17T00:00:00"/>
    <x v="0"/>
    <n v="5909"/>
    <n v="0.76"/>
    <n v="0.43"/>
    <d v="1955-03-21T00:00:00"/>
    <n v="55"/>
    <x v="1"/>
    <n v="-43.421052631578952"/>
    <x v="0"/>
  </r>
  <r>
    <s v="70"/>
    <s v="27150"/>
    <s v="هالة عبد العال"/>
    <x v="7"/>
    <x v="2"/>
    <x v="1"/>
    <x v="58"/>
    <d v="1964-12-15T00:00:00"/>
    <x v="0"/>
    <n v="11445"/>
    <n v="0.8"/>
    <n v="0.57999999999999996"/>
    <d v="1961-05-23T00:00:00"/>
    <n v="61"/>
    <x v="2"/>
    <n v="-27.500000000000007"/>
    <x v="0"/>
  </r>
  <r>
    <s v="83"/>
    <s v="26399"/>
    <s v="نسمة كامل"/>
    <x v="5"/>
    <x v="2"/>
    <x v="1"/>
    <x v="59"/>
    <d v="1982-04-01T00:00:00"/>
    <x v="0"/>
    <n v="6834"/>
    <n v="0.83"/>
    <n v="0.64"/>
    <d v="1944-02-06T00:00:00"/>
    <n v="44"/>
    <x v="0"/>
    <n v="-22.891566265060238"/>
    <x v="0"/>
  </r>
  <r>
    <s v="84"/>
    <s v="26442"/>
    <s v="ندي إبراهيم"/>
    <x v="6"/>
    <x v="2"/>
    <x v="0"/>
    <x v="60"/>
    <d v="1968-05-11T00:00:00"/>
    <x v="0"/>
    <n v="1860"/>
    <n v="0.89"/>
    <n v="0.94"/>
    <d v="1957-12-27T00:00:00"/>
    <n v="58"/>
    <x v="1"/>
    <n v="5.61797752808988"/>
    <x v="1"/>
  </r>
  <r>
    <s v="85"/>
    <s v="25908"/>
    <s v="عبد الرحمن محمد"/>
    <x v="7"/>
    <x v="2"/>
    <x v="0"/>
    <x v="61"/>
    <d v="1972-11-15T00:00:00"/>
    <x v="0"/>
    <n v="8730"/>
    <n v="0.88"/>
    <n v="0.95"/>
    <d v="1953-06-22T00:00:00"/>
    <n v="54"/>
    <x v="1"/>
    <n v="7.9545454545454488"/>
    <x v="1"/>
  </r>
  <r>
    <s v="3"/>
    <s v="26446"/>
    <s v="محمد علاء"/>
    <x v="8"/>
    <x v="3"/>
    <x v="2"/>
    <x v="5"/>
    <d v="1982-02-08T00:00:00"/>
    <x v="2"/>
    <n v="25000"/>
    <n v="0.8"/>
    <n v="0.9"/>
    <d v="1944-03-29T00:00:00"/>
    <n v="44"/>
    <x v="0"/>
    <n v="12.499999999999996"/>
    <x v="1"/>
  </r>
  <r>
    <s v="9"/>
    <s v="26412"/>
    <s v="كامل عصام"/>
    <x v="9"/>
    <x v="3"/>
    <x v="1"/>
    <x v="62"/>
    <d v="1984-02-21T00:00:00"/>
    <x v="0"/>
    <n v="11492"/>
    <n v="0.81"/>
    <n v="0.77"/>
    <d v="1942-03-17T00:00:00"/>
    <n v="42"/>
    <x v="0"/>
    <n v="-4.9382716049382758"/>
    <x v="0"/>
  </r>
  <r>
    <s v="30"/>
    <s v="25905"/>
    <s v="اسراء عصام"/>
    <x v="9"/>
    <x v="3"/>
    <x v="0"/>
    <x v="63"/>
    <d v="1964-11-07T00:00:00"/>
    <x v="0"/>
    <n v="5578"/>
    <n v="0.76"/>
    <n v="0.97"/>
    <d v="1961-06-30T00:00:00"/>
    <n v="62"/>
    <x v="2"/>
    <n v="27.631578947368418"/>
    <x v="1"/>
  </r>
  <r>
    <s v="50"/>
    <s v="30350"/>
    <s v="ندي إبراهيم"/>
    <x v="9"/>
    <x v="3"/>
    <x v="1"/>
    <x v="64"/>
    <d v="1969-12-02T00:00:00"/>
    <x v="0"/>
    <n v="6348"/>
    <n v="0.76"/>
    <n v="0.69"/>
    <d v="1956-06-05T00:00:00"/>
    <n v="56"/>
    <x v="1"/>
    <n v="-9.2105263157894814"/>
    <x v="0"/>
  </r>
  <r>
    <s v="58"/>
    <s v="30349"/>
    <s v="منه أحمد"/>
    <x v="9"/>
    <x v="3"/>
    <x v="2"/>
    <x v="65"/>
    <d v="1970-11-04T00:00:00"/>
    <x v="0"/>
    <n v="1952"/>
    <n v="0.83"/>
    <n v="0.76"/>
    <d v="1955-07-04T00:00:00"/>
    <n v="56"/>
    <x v="1"/>
    <n v="-8.4337349397590309"/>
    <x v="0"/>
  </r>
  <r>
    <s v="71"/>
    <s v="30460"/>
    <s v="نغم محمد"/>
    <x v="9"/>
    <x v="3"/>
    <x v="1"/>
    <x v="66"/>
    <d v="1976-12-06T00:00:00"/>
    <x v="0"/>
    <n v="18214"/>
    <n v="0.78"/>
    <n v="0.64"/>
    <d v="1949-06-01T00:00:00"/>
    <n v="49"/>
    <x v="0"/>
    <n v="-17.948717948717949"/>
    <x v="0"/>
  </r>
  <r>
    <s v="2"/>
    <s v="28127"/>
    <s v="سارة احمد محمد"/>
    <x v="10"/>
    <x v="4"/>
    <x v="1"/>
    <x v="67"/>
    <d v="1965-09-04T00:00:00"/>
    <x v="2"/>
    <n v="21575"/>
    <n v="0.86"/>
    <n v="0.87"/>
    <d v="1960-09-02T00:00:00"/>
    <n v="61"/>
    <x v="2"/>
    <n v="1.1627906976744196"/>
    <x v="1"/>
  </r>
  <r>
    <s v="14"/>
    <s v="26422"/>
    <s v="ندي إبراهيم"/>
    <x v="11"/>
    <x v="4"/>
    <x v="0"/>
    <x v="68"/>
    <d v="1963-11-18T00:00:00"/>
    <x v="0"/>
    <n v="19023"/>
    <n v="0.78"/>
    <n v="0.89"/>
    <d v="1962-06-20T00:00:00"/>
    <n v="63"/>
    <x v="2"/>
    <n v="14.1025641025641"/>
    <x v="1"/>
  </r>
  <r>
    <s v="15"/>
    <s v="26414"/>
    <s v="عبد الرحمن محمد"/>
    <x v="12"/>
    <x v="4"/>
    <x v="1"/>
    <x v="69"/>
    <d v="1972-05-16T00:00:00"/>
    <x v="0"/>
    <n v="12801"/>
    <n v="0.75"/>
    <n v="0.76"/>
    <d v="1953-12-22T00:00:00"/>
    <n v="54"/>
    <x v="1"/>
    <n v="1.3333333333333344"/>
    <x v="1"/>
  </r>
  <r>
    <s v="24"/>
    <s v="30352"/>
    <s v="مي محمد ابراهيم"/>
    <x v="12"/>
    <x v="4"/>
    <x v="0"/>
    <x v="70"/>
    <d v="1970-12-22T00:00:00"/>
    <x v="0"/>
    <n v="16742"/>
    <n v="0.87"/>
    <n v="0.87"/>
    <d v="1955-05-17T00:00:00"/>
    <n v="55"/>
    <x v="1"/>
    <n v="0"/>
    <x v="0"/>
  </r>
  <r>
    <s v="25"/>
    <s v="26726"/>
    <s v="محمد راضي"/>
    <x v="12"/>
    <x v="4"/>
    <x v="0"/>
    <x v="71"/>
    <d v="1983-09-28T00:00:00"/>
    <x v="0"/>
    <n v="15635"/>
    <n v="0.84"/>
    <n v="0.84"/>
    <d v="1942-08-10T00:00:00"/>
    <n v="43"/>
    <x v="0"/>
    <n v="0"/>
    <x v="0"/>
  </r>
  <r>
    <s v="35"/>
    <s v="26431"/>
    <s v="مروة محمد عبدالله"/>
    <x v="11"/>
    <x v="4"/>
    <x v="1"/>
    <x v="72"/>
    <d v="1984-02-21T00:00:00"/>
    <x v="0"/>
    <n v="20897"/>
    <n v="0.83"/>
    <n v="0.67"/>
    <d v="1942-03-17T00:00:00"/>
    <n v="42"/>
    <x v="0"/>
    <n v="-19.277108433734931"/>
    <x v="0"/>
  </r>
  <r>
    <s v="36"/>
    <s v="26396"/>
    <s v="هالة عبد العال"/>
    <x v="12"/>
    <x v="4"/>
    <x v="2"/>
    <x v="73"/>
    <d v="1975-08-01T00:00:00"/>
    <x v="0"/>
    <n v="15730"/>
    <n v="0.86"/>
    <n v="0.53"/>
    <d v="1950-10-07T00:00:00"/>
    <n v="51"/>
    <x v="1"/>
    <n v="-38.372093023255808"/>
    <x v="0"/>
  </r>
  <r>
    <s v="44"/>
    <s v="26445"/>
    <s v="الاء أحمد"/>
    <x v="12"/>
    <x v="4"/>
    <x v="1"/>
    <x v="74"/>
    <d v="1969-10-20T00:00:00"/>
    <x v="0"/>
    <n v="16861"/>
    <n v="0.87"/>
    <n v="0.52"/>
    <d v="1956-07-18T00:00:00"/>
    <n v="57"/>
    <x v="1"/>
    <n v="-40.229885057471257"/>
    <x v="0"/>
  </r>
  <r>
    <s v="45"/>
    <s v="26400"/>
    <s v="كامل عصام"/>
    <x v="12"/>
    <x v="4"/>
    <x v="0"/>
    <x v="75"/>
    <d v="1970-10-15T00:00:00"/>
    <x v="0"/>
    <n v="5067"/>
    <n v="0.86"/>
    <n v="0.94"/>
    <d v="1955-07-24T00:00:00"/>
    <n v="56"/>
    <x v="1"/>
    <n v="9.302325581395344"/>
    <x v="1"/>
  </r>
  <r>
    <s v="53"/>
    <s v="26443"/>
    <s v="حازم أحمد"/>
    <x v="12"/>
    <x v="4"/>
    <x v="1"/>
    <x v="76"/>
    <d v="1970-02-09T00:00:00"/>
    <x v="0"/>
    <n v="12903"/>
    <n v="0.77"/>
    <n v="0.75"/>
    <d v="1956-03-28T00:00:00"/>
    <n v="56"/>
    <x v="1"/>
    <n v="-2.5974025974025996"/>
    <x v="0"/>
  </r>
  <r>
    <s v="63"/>
    <s v="26610"/>
    <s v="فادي نور"/>
    <x v="11"/>
    <x v="4"/>
    <x v="0"/>
    <x v="11"/>
    <d v="1974-06-20T00:00:00"/>
    <x v="0"/>
    <n v="4388"/>
    <n v="0.86"/>
    <n v="0.47"/>
    <d v="1951-11-18T00:00:00"/>
    <n v="52"/>
    <x v="1"/>
    <n v="-45.348837209302332"/>
    <x v="0"/>
  </r>
  <r>
    <s v="64"/>
    <s v="26404"/>
    <s v="نور يحيي"/>
    <x v="12"/>
    <x v="4"/>
    <x v="0"/>
    <x v="77"/>
    <d v="1974-05-18T00:00:00"/>
    <x v="0"/>
    <n v="15454"/>
    <n v="0.87"/>
    <n v="0.94"/>
    <d v="1951-12-21T00:00:00"/>
    <n v="52"/>
    <x v="1"/>
    <n v="8.0459770114942479"/>
    <x v="1"/>
  </r>
  <r>
    <s v="65"/>
    <s v="26402"/>
    <s v="اسراء عصام"/>
    <x v="12"/>
    <x v="4"/>
    <x v="1"/>
    <x v="78"/>
    <d v="1968-10-13T00:00:00"/>
    <x v="0"/>
    <n v="24472"/>
    <n v="0.84"/>
    <n v="0.52"/>
    <d v="1957-07-25T00:00:00"/>
    <n v="58"/>
    <x v="1"/>
    <n v="-38.095238095238095"/>
    <x v="0"/>
  </r>
  <r>
    <s v="66"/>
    <s v="26427"/>
    <s v="مارك يوسف"/>
    <x v="12"/>
    <x v="4"/>
    <x v="1"/>
    <x v="64"/>
    <d v="1964-11-27T00:00:00"/>
    <x v="0"/>
    <n v="15992"/>
    <n v="0.82"/>
    <n v="0.91"/>
    <d v="1961-06-10T00:00:00"/>
    <n v="61"/>
    <x v="2"/>
    <n v="10.975609756097571"/>
    <x v="1"/>
  </r>
  <r>
    <s v="76"/>
    <s v="26999"/>
    <s v="أحمد سمير"/>
    <x v="11"/>
    <x v="4"/>
    <x v="1"/>
    <x v="45"/>
    <d v="1966-08-13T00:00:00"/>
    <x v="0"/>
    <n v="21183"/>
    <n v="0.85"/>
    <n v="0.66"/>
    <d v="1959-09-25T00:00:00"/>
    <n v="60"/>
    <x v="2"/>
    <n v="-22.352941176470583"/>
    <x v="0"/>
  </r>
  <r>
    <s v="77"/>
    <s v="28929"/>
    <s v="مهاب أسامة"/>
    <x v="12"/>
    <x v="4"/>
    <x v="1"/>
    <x v="79"/>
    <d v="1969-11-25T00:00:00"/>
    <x v="0"/>
    <n v="22459"/>
    <n v="0.86"/>
    <n v="0.43"/>
    <d v="1956-06-12T00:00:00"/>
    <n v="56"/>
    <x v="1"/>
    <n v="-50"/>
    <x v="0"/>
  </r>
  <r>
    <s v="87"/>
    <s v="26447"/>
    <s v="حازم أحمد"/>
    <x v="11"/>
    <x v="4"/>
    <x v="0"/>
    <x v="80"/>
    <d v="1980-05-01T00:00:00"/>
    <x v="0"/>
    <n v="2227"/>
    <n v="0.8"/>
    <n v="0.59"/>
    <d v="1946-01-06T00:00:00"/>
    <n v="46"/>
    <x v="0"/>
    <n v="-26.250000000000007"/>
    <x v="0"/>
  </r>
  <r>
    <s v="88"/>
    <s v="28227"/>
    <s v="يوسف أحمد"/>
    <x v="12"/>
    <x v="4"/>
    <x v="0"/>
    <x v="62"/>
    <d v="1972-04-06T00:00:00"/>
    <x v="0"/>
    <n v="1673"/>
    <n v="0.78"/>
    <n v="0.78"/>
    <d v="1954-01-31T00:00:00"/>
    <n v="54"/>
    <x v="1"/>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28C9ED-FE58-4AC5-9033-B98AA8F54748}" name="PivotTable2" cacheId="8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erformance" colHeaderCaption="Branch">
  <location ref="C5:E6" firstHeaderRow="0" firstDataRow="1" firstDataCol="0"/>
  <pivotFields count="20">
    <pivotField showAll="0"/>
    <pivotField dataField="1" showAll="0"/>
    <pivotField showAll="0"/>
    <pivotField showAll="0"/>
    <pivotField showAll="0">
      <items count="8">
        <item x="1"/>
        <item x="2"/>
        <item x="3"/>
        <item x="4"/>
        <item x="0"/>
        <item m="1" x="5"/>
        <item m="1" x="6"/>
        <item t="default"/>
      </items>
    </pivotField>
    <pivotField showAll="0">
      <items count="4">
        <item x="1"/>
        <item x="0"/>
        <item x="2"/>
        <item t="default"/>
      </items>
    </pivotField>
    <pivotField numFmtId="14" showAll="0">
      <items count="82">
        <item x="47"/>
        <item x="23"/>
        <item x="24"/>
        <item x="48"/>
        <item x="15"/>
        <item x="25"/>
        <item x="12"/>
        <item x="49"/>
        <item x="0"/>
        <item x="26"/>
        <item x="50"/>
        <item x="41"/>
        <item x="34"/>
        <item x="59"/>
        <item x="51"/>
        <item x="78"/>
        <item x="42"/>
        <item x="64"/>
        <item x="60"/>
        <item x="13"/>
        <item x="68"/>
        <item x="61"/>
        <item x="55"/>
        <item x="16"/>
        <item x="40"/>
        <item x="39"/>
        <item x="17"/>
        <item x="56"/>
        <item x="43"/>
        <item x="76"/>
        <item x="80"/>
        <item x="74"/>
        <item x="57"/>
        <item x="62"/>
        <item x="58"/>
        <item x="69"/>
        <item x="1"/>
        <item x="66"/>
        <item x="3"/>
        <item x="4"/>
        <item x="14"/>
        <item x="67"/>
        <item x="20"/>
        <item x="27"/>
        <item x="28"/>
        <item x="5"/>
        <item x="32"/>
        <item x="73"/>
        <item x="29"/>
        <item x="30"/>
        <item x="52"/>
        <item x="63"/>
        <item x="31"/>
        <item x="79"/>
        <item x="6"/>
        <item x="7"/>
        <item x="19"/>
        <item x="53"/>
        <item x="21"/>
        <item x="54"/>
        <item x="75"/>
        <item x="8"/>
        <item x="2"/>
        <item x="38"/>
        <item x="10"/>
        <item x="35"/>
        <item x="9"/>
        <item x="22"/>
        <item x="33"/>
        <item x="70"/>
        <item x="71"/>
        <item x="44"/>
        <item x="45"/>
        <item x="18"/>
        <item x="46"/>
        <item x="65"/>
        <item x="72"/>
        <item x="36"/>
        <item x="11"/>
        <item x="37"/>
        <item x="77"/>
        <item t="default"/>
      </items>
    </pivotField>
    <pivotField numFmtId="14" showAll="0"/>
    <pivotField showAll="0"/>
    <pivotField dataField="1" showAll="0"/>
    <pivotField showAll="0"/>
    <pivotField showAll="0"/>
    <pivotField numFmtId="164" showAll="0"/>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Fields count="1">
    <field x="-2"/>
  </colFields>
  <colItems count="3">
    <i>
      <x/>
    </i>
    <i i="1">
      <x v="1"/>
    </i>
    <i i="2">
      <x v="2"/>
    </i>
  </colItems>
  <dataFields count="3">
    <dataField name="Total Salary" fld="9" baseField="0" baseItem="0" numFmtId="166"/>
    <dataField name="Average Salary" fld="9" subtotal="average" baseField="0" baseItem="1" numFmtId="165"/>
    <dataField name="#Employees" fld="1" subtotal="count" baseField="0" baseItem="0"/>
  </dataFields>
  <formats count="5">
    <format dxfId="596">
      <pivotArea outline="0" collapsedLevelsAreSubtotals="1" fieldPosition="0">
        <references count="1">
          <reference field="4294967294" count="2" selected="0">
            <x v="0"/>
            <x v="1"/>
          </reference>
        </references>
      </pivotArea>
    </format>
    <format dxfId="595">
      <pivotArea type="all" dataOnly="0" outline="0" fieldPosition="0"/>
    </format>
    <format dxfId="594">
      <pivotArea outline="0" collapsedLevelsAreSubtotals="1" fieldPosition="0"/>
    </format>
    <format dxfId="593">
      <pivotArea dataOnly="0" labelOnly="1" outline="0" fieldPosition="0">
        <references count="1">
          <reference field="4294967294" count="2">
            <x v="0"/>
            <x v="1"/>
          </reference>
        </references>
      </pivotArea>
    </format>
    <format dxfId="592">
      <pivotArea outline="0" collapsedLevelsAreSubtotals="1" fieldPosition="0">
        <references count="1">
          <reference field="4294967294" count="1" selected="0">
            <x v="0"/>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5F78DE-0761-4BAC-B152-56FED9FAB3A7}" name="PivotTable7" cacheId="8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Month" colHeaderCaption="Performance">
  <location ref="H51:K65" firstHeaderRow="1" firstDataRow="2" firstDataCol="1"/>
  <pivotFields count="20">
    <pivotField showAll="0"/>
    <pivotField dataField="1" showAll="0"/>
    <pivotField showAll="0"/>
    <pivotField showAll="0"/>
    <pivotField showAll="0">
      <items count="8">
        <item x="1"/>
        <item x="2"/>
        <item x="3"/>
        <item x="4"/>
        <item x="0"/>
        <item m="1" x="5"/>
        <item m="1" x="6"/>
        <item t="default"/>
      </items>
    </pivotField>
    <pivotField showAll="0">
      <items count="4">
        <item x="1"/>
        <item x="0"/>
        <item x="2"/>
        <item t="default"/>
      </items>
    </pivotField>
    <pivotField numFmtId="14" showAll="0">
      <items count="82">
        <item x="47"/>
        <item x="23"/>
        <item x="24"/>
        <item x="48"/>
        <item x="15"/>
        <item x="25"/>
        <item x="12"/>
        <item x="49"/>
        <item x="0"/>
        <item x="26"/>
        <item x="50"/>
        <item x="41"/>
        <item x="34"/>
        <item x="59"/>
        <item x="51"/>
        <item x="78"/>
        <item x="42"/>
        <item x="64"/>
        <item x="60"/>
        <item x="13"/>
        <item x="68"/>
        <item x="61"/>
        <item x="55"/>
        <item x="16"/>
        <item x="40"/>
        <item x="39"/>
        <item x="17"/>
        <item x="56"/>
        <item x="43"/>
        <item x="76"/>
        <item x="80"/>
        <item x="74"/>
        <item x="57"/>
        <item x="62"/>
        <item x="58"/>
        <item x="69"/>
        <item x="1"/>
        <item x="66"/>
        <item x="3"/>
        <item x="4"/>
        <item x="14"/>
        <item x="67"/>
        <item x="20"/>
        <item x="27"/>
        <item x="28"/>
        <item x="5"/>
        <item x="32"/>
        <item x="73"/>
        <item x="29"/>
        <item x="30"/>
        <item x="52"/>
        <item x="63"/>
        <item x="31"/>
        <item x="79"/>
        <item x="6"/>
        <item x="7"/>
        <item x="19"/>
        <item x="53"/>
        <item x="21"/>
        <item x="54"/>
        <item x="75"/>
        <item x="8"/>
        <item x="2"/>
        <item x="38"/>
        <item x="10"/>
        <item x="35"/>
        <item x="9"/>
        <item x="22"/>
        <item x="33"/>
        <item x="70"/>
        <item x="71"/>
        <item x="44"/>
        <item x="45"/>
        <item x="18"/>
        <item x="46"/>
        <item x="65"/>
        <item x="72"/>
        <item x="36"/>
        <item x="11"/>
        <item x="37"/>
        <item x="77"/>
        <item t="default"/>
      </items>
    </pivotField>
    <pivotField numFmtId="14" showAll="0"/>
    <pivotField showAll="0"/>
    <pivotField showAll="0"/>
    <pivotField showAll="0"/>
    <pivotField showAll="0"/>
    <pivotField numFmtId="164" showAll="0"/>
    <pivotField showAll="0"/>
    <pivotField showAll="0"/>
    <pivotField showAll="0"/>
    <pivotField axis="axisCol"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7"/>
  </rowFields>
  <rowItems count="13">
    <i>
      <x v="1"/>
    </i>
    <i>
      <x v="2"/>
    </i>
    <i>
      <x v="3"/>
    </i>
    <i>
      <x v="4"/>
    </i>
    <i>
      <x v="5"/>
    </i>
    <i>
      <x v="6"/>
    </i>
    <i>
      <x v="7"/>
    </i>
    <i>
      <x v="8"/>
    </i>
    <i>
      <x v="9"/>
    </i>
    <i>
      <x v="10"/>
    </i>
    <i>
      <x v="11"/>
    </i>
    <i>
      <x v="12"/>
    </i>
    <i t="grand">
      <x/>
    </i>
  </rowItems>
  <colFields count="1">
    <field x="16"/>
  </colFields>
  <colItems count="3">
    <i>
      <x/>
    </i>
    <i>
      <x v="1"/>
    </i>
    <i t="grand">
      <x/>
    </i>
  </colItems>
  <dataFields count="1">
    <dataField name="#Emps" fld="1" subtotal="count" baseField="0" baseItem="0"/>
  </dataFields>
  <formats count="13">
    <format dxfId="609">
      <pivotArea type="all" dataOnly="0" outline="0" fieldPosition="0"/>
    </format>
    <format dxfId="608">
      <pivotArea outline="0" collapsedLevelsAreSubtotals="1" fieldPosition="0"/>
    </format>
    <format dxfId="607">
      <pivotArea type="origin" dataOnly="0" labelOnly="1" outline="0" fieldPosition="0"/>
    </format>
    <format dxfId="606">
      <pivotArea field="5" type="button" dataOnly="0" labelOnly="1" outline="0"/>
    </format>
    <format dxfId="605">
      <pivotArea type="topRight" dataOnly="0" labelOnly="1" outline="0" fieldPosition="0"/>
    </format>
    <format dxfId="604">
      <pivotArea field="16" type="button" dataOnly="0" labelOnly="1" outline="0" axis="axisCol" fieldPosition="0"/>
    </format>
    <format dxfId="603">
      <pivotArea dataOnly="0" labelOnly="1" grandRow="1" outline="0" fieldPosition="0"/>
    </format>
    <format dxfId="602">
      <pivotArea dataOnly="0" labelOnly="1" grandCol="1" outline="0" fieldPosition="0"/>
    </format>
    <format dxfId="601">
      <pivotArea dataOnly="0" labelOnly="1" grandCol="1" outline="0" fieldPosition="0"/>
    </format>
    <format dxfId="600">
      <pivotArea field="5" type="button" dataOnly="0" labelOnly="1" outline="0"/>
    </format>
    <format dxfId="599">
      <pivotArea field="5" type="button" dataOnly="0" labelOnly="1" outline="0"/>
    </format>
    <format dxfId="598">
      <pivotArea dataOnly="0" labelOnly="1" grandCol="1" outline="0" fieldPosition="0"/>
    </format>
    <format dxfId="597">
      <pivotArea grandRow="1" outline="0" collapsedLevelsAreSubtotals="1" fieldPosition="0"/>
    </format>
  </formats>
  <chartFormats count="2">
    <chartFormat chart="4" format="4" series="1">
      <pivotArea type="data" outline="0" fieldPosition="0">
        <references count="2">
          <reference field="4294967294" count="1" selected="0">
            <x v="0"/>
          </reference>
          <reference field="16" count="1" selected="0">
            <x v="0"/>
          </reference>
        </references>
      </pivotArea>
    </chartFormat>
    <chartFormat chart="4" format="5" series="1">
      <pivotArea type="data" outline="0" fieldPosition="0">
        <references count="2">
          <reference field="4294967294" count="1" selected="0">
            <x v="0"/>
          </reference>
          <reference field="16"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6" id="{9CA37DE0-76BF-4976-9C7C-5C740BAEFE30}">
            <x14:pivotAreas count="1">
              <pivotArea type="data" collapsedLevelsAreSubtotals="1" fieldPosition="0">
                <references count="3">
                  <reference field="4294967294" count="1" selected="0">
                    <x v="0"/>
                  </reference>
                  <reference field="16" count="2" selected="0">
                    <x v="0"/>
                    <x v="1"/>
                  </reference>
                  <reference field="17" count="12">
                    <x v="1"/>
                    <x v="2"/>
                    <x v="3"/>
                    <x v="4"/>
                    <x v="5"/>
                    <x v="6"/>
                    <x v="7"/>
                    <x v="8"/>
                    <x v="9"/>
                    <x v="10"/>
                    <x v="11"/>
                    <x v="1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14C494-65AB-451D-B4B9-4FCEB19DD5D9}" name="PivotTable1" cacheId="8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Performance" colHeaderCaption="Branch">
  <location ref="A14:E18" firstHeaderRow="1" firstDataRow="2" firstDataCol="1"/>
  <pivotFields count="20">
    <pivotField showAll="0"/>
    <pivotField showAll="0"/>
    <pivotField showAll="0"/>
    <pivotField showAll="0"/>
    <pivotField showAll="0">
      <items count="8">
        <item x="1"/>
        <item x="2"/>
        <item x="3"/>
        <item x="4"/>
        <item x="0"/>
        <item m="1" x="5"/>
        <item m="1" x="6"/>
        <item t="default"/>
      </items>
    </pivotField>
    <pivotField axis="axisCol" showAll="0">
      <items count="4">
        <item x="1"/>
        <item x="0"/>
        <item x="2"/>
        <item t="default"/>
      </items>
    </pivotField>
    <pivotField numFmtId="14" showAll="0">
      <items count="82">
        <item x="47"/>
        <item x="23"/>
        <item x="24"/>
        <item x="48"/>
        <item x="15"/>
        <item x="25"/>
        <item x="12"/>
        <item x="49"/>
        <item x="0"/>
        <item x="26"/>
        <item x="50"/>
        <item x="41"/>
        <item x="34"/>
        <item x="59"/>
        <item x="51"/>
        <item x="78"/>
        <item x="42"/>
        <item x="64"/>
        <item x="60"/>
        <item x="13"/>
        <item x="68"/>
        <item x="61"/>
        <item x="55"/>
        <item x="16"/>
        <item x="40"/>
        <item x="39"/>
        <item x="17"/>
        <item x="56"/>
        <item x="43"/>
        <item x="76"/>
        <item x="80"/>
        <item x="74"/>
        <item x="57"/>
        <item x="62"/>
        <item x="58"/>
        <item x="69"/>
        <item x="1"/>
        <item x="66"/>
        <item x="3"/>
        <item x="4"/>
        <item x="14"/>
        <item x="67"/>
        <item x="20"/>
        <item x="27"/>
        <item x="28"/>
        <item x="5"/>
        <item x="32"/>
        <item x="73"/>
        <item x="29"/>
        <item x="30"/>
        <item x="52"/>
        <item x="63"/>
        <item x="31"/>
        <item x="79"/>
        <item x="6"/>
        <item x="7"/>
        <item x="19"/>
        <item x="53"/>
        <item x="21"/>
        <item x="54"/>
        <item x="75"/>
        <item x="8"/>
        <item x="2"/>
        <item x="38"/>
        <item x="10"/>
        <item x="35"/>
        <item x="9"/>
        <item x="22"/>
        <item x="33"/>
        <item x="70"/>
        <item x="71"/>
        <item x="44"/>
        <item x="45"/>
        <item x="18"/>
        <item x="46"/>
        <item x="65"/>
        <item x="72"/>
        <item x="36"/>
        <item x="11"/>
        <item x="37"/>
        <item x="77"/>
        <item t="default"/>
      </items>
    </pivotField>
    <pivotField numFmtId="14" showAll="0"/>
    <pivotField showAll="0"/>
    <pivotField dataField="1" showAll="0"/>
    <pivotField showAll="0"/>
    <pivotField showAll="0"/>
    <pivotField numFmtId="164" showAll="0"/>
    <pivotField showAll="0"/>
    <pivotField showAll="0"/>
    <pivotField showAll="0"/>
    <pivotField axis="axisRow"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6"/>
  </rowFields>
  <rowItems count="3">
    <i>
      <x/>
    </i>
    <i>
      <x v="1"/>
    </i>
    <i t="grand">
      <x/>
    </i>
  </rowItems>
  <colFields count="1">
    <field x="5"/>
  </colFields>
  <colItems count="4">
    <i>
      <x/>
    </i>
    <i>
      <x v="1"/>
    </i>
    <i>
      <x v="2"/>
    </i>
    <i t="grand">
      <x/>
    </i>
  </colItems>
  <dataFields count="1">
    <dataField name="Total Salary" fld="9" baseField="0" baseItem="0"/>
  </dataFields>
  <formats count="19">
    <format dxfId="628">
      <pivotArea collapsedLevelsAreSubtotals="1" fieldPosition="0">
        <references count="1">
          <reference field="16" count="0"/>
        </references>
      </pivotArea>
    </format>
    <format dxfId="627">
      <pivotArea collapsedLevelsAreSubtotals="1" fieldPosition="0">
        <references count="2">
          <reference field="5" count="0"/>
          <reference field="16" count="1" selected="0">
            <x v="1"/>
          </reference>
        </references>
      </pivotArea>
    </format>
    <format dxfId="626">
      <pivotArea grandRow="1" outline="0" collapsedLevelsAreSubtotals="1" fieldPosition="0"/>
    </format>
    <format dxfId="625">
      <pivotArea type="all" dataOnly="0" outline="0" fieldPosition="0"/>
    </format>
    <format dxfId="624">
      <pivotArea outline="0" collapsedLevelsAreSubtotals="1" fieldPosition="0"/>
    </format>
    <format dxfId="623">
      <pivotArea type="origin" dataOnly="0" labelOnly="1" outline="0" fieldPosition="0"/>
    </format>
    <format dxfId="622">
      <pivotArea field="5" type="button" dataOnly="0" labelOnly="1" outline="0" axis="axisCol" fieldPosition="0"/>
    </format>
    <format dxfId="621">
      <pivotArea type="topRight" dataOnly="0" labelOnly="1" outline="0" fieldPosition="0"/>
    </format>
    <format dxfId="620">
      <pivotArea field="16" type="button" dataOnly="0" labelOnly="1" outline="0" axis="axisRow" fieldPosition="0"/>
    </format>
    <format dxfId="619">
      <pivotArea dataOnly="0" labelOnly="1" fieldPosition="0">
        <references count="1">
          <reference field="16" count="0"/>
        </references>
      </pivotArea>
    </format>
    <format dxfId="618">
      <pivotArea dataOnly="0" labelOnly="1" grandRow="1" outline="0" fieldPosition="0"/>
    </format>
    <format dxfId="617">
      <pivotArea dataOnly="0" labelOnly="1" fieldPosition="0">
        <references count="1">
          <reference field="5" count="0"/>
        </references>
      </pivotArea>
    </format>
    <format dxfId="616">
      <pivotArea dataOnly="0" labelOnly="1" grandCol="1" outline="0" fieldPosition="0"/>
    </format>
    <format dxfId="615">
      <pivotArea dataOnly="0" labelOnly="1" fieldPosition="0">
        <references count="1">
          <reference field="5" count="0"/>
        </references>
      </pivotArea>
    </format>
    <format dxfId="614">
      <pivotArea dataOnly="0" labelOnly="1" grandCol="1" outline="0" fieldPosition="0"/>
    </format>
    <format dxfId="613">
      <pivotArea field="5" type="button" dataOnly="0" labelOnly="1" outline="0" axis="axisCol" fieldPosition="0"/>
    </format>
    <format dxfId="612">
      <pivotArea field="5" type="button" dataOnly="0" labelOnly="1" outline="0" axis="axisCol" fieldPosition="0"/>
    </format>
    <format dxfId="611">
      <pivotArea dataOnly="0" labelOnly="1" fieldPosition="0">
        <references count="1">
          <reference field="5" count="0"/>
        </references>
      </pivotArea>
    </format>
    <format dxfId="610">
      <pivotArea dataOnly="0" labelOnly="1" grandCol="1" outline="0" fieldPosition="0"/>
    </format>
  </formats>
  <conditionalFormats count="1">
    <conditionalFormat priority="1">
      <pivotAreas count="1">
        <pivotArea type="data" collapsedLevelsAreSubtotals="1" fieldPosition="0">
          <references count="3">
            <reference field="4294967294" count="1" selected="0">
              <x v="0"/>
            </reference>
            <reference field="5" count="3" selected="0">
              <x v="0"/>
              <x v="1"/>
              <x v="2"/>
            </reference>
            <reference field="16" count="2">
              <x v="0"/>
              <x v="1"/>
            </reference>
          </references>
        </pivotArea>
      </pivotAreas>
    </conditionalFormat>
  </conditionalFormats>
  <chartFormats count="6">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 chart="4" format="9">
      <pivotArea type="data" outline="0" fieldPosition="0">
        <references count="3">
          <reference field="4294967294" count="1" selected="0">
            <x v="0"/>
          </reference>
          <reference field="5" count="1" selected="0">
            <x v="1"/>
          </reference>
          <reference field="16" count="1" selected="0">
            <x v="0"/>
          </reference>
        </references>
      </pivotArea>
    </chartFormat>
    <chartFormat chart="4" format="10">
      <pivotArea type="data" outline="0" fieldPosition="0">
        <references count="3">
          <reference field="4294967294" count="1" selected="0">
            <x v="0"/>
          </reference>
          <reference field="5" count="1" selected="0">
            <x v="2"/>
          </reference>
          <reference field="16" count="1" selected="0">
            <x v="0"/>
          </reference>
        </references>
      </pivotArea>
    </chartFormat>
    <chartFormat chart="4" format="11">
      <pivotArea type="data" outline="0" fieldPosition="0">
        <references count="3">
          <reference field="4294967294" count="1" selected="0">
            <x v="0"/>
          </reference>
          <reference field="5" count="1" selected="0">
            <x v="2"/>
          </reference>
          <reference field="16"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8CC890-F674-45CC-A3C1-0CD91370ED79}" name="PivotTable6" cacheId="8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تاريخ التعيين" colHeaderCaption="Age Group">
  <location ref="A32:F56" firstHeaderRow="1" firstDataRow="2" firstDataCol="1"/>
  <pivotFields count="20">
    <pivotField showAll="0"/>
    <pivotField dataField="1" showAll="0"/>
    <pivotField showAll="0"/>
    <pivotField showAll="0"/>
    <pivotField showAll="0">
      <items count="8">
        <item x="1"/>
        <item x="2"/>
        <item x="3"/>
        <item x="4"/>
        <item x="0"/>
        <item m="1" x="5"/>
        <item m="1" x="6"/>
        <item t="default"/>
      </items>
    </pivotField>
    <pivotField showAll="0">
      <items count="4">
        <item x="1"/>
        <item x="0"/>
        <item x="2"/>
        <item t="default"/>
      </items>
    </pivotField>
    <pivotField numFmtId="14" showAll="0">
      <items count="82">
        <item x="47"/>
        <item x="23"/>
        <item x="24"/>
        <item x="48"/>
        <item x="15"/>
        <item x="25"/>
        <item x="12"/>
        <item x="49"/>
        <item x="0"/>
        <item x="26"/>
        <item x="50"/>
        <item x="41"/>
        <item x="34"/>
        <item x="59"/>
        <item x="51"/>
        <item x="78"/>
        <item x="42"/>
        <item x="64"/>
        <item x="60"/>
        <item x="13"/>
        <item x="68"/>
        <item x="61"/>
        <item x="55"/>
        <item x="16"/>
        <item x="40"/>
        <item x="39"/>
        <item x="17"/>
        <item x="56"/>
        <item x="43"/>
        <item x="76"/>
        <item x="80"/>
        <item x="74"/>
        <item x="57"/>
        <item x="62"/>
        <item x="58"/>
        <item x="69"/>
        <item x="1"/>
        <item x="66"/>
        <item x="3"/>
        <item x="4"/>
        <item x="14"/>
        <item x="67"/>
        <item x="20"/>
        <item x="27"/>
        <item x="28"/>
        <item x="5"/>
        <item x="32"/>
        <item x="73"/>
        <item x="29"/>
        <item x="30"/>
        <item x="52"/>
        <item x="63"/>
        <item x="31"/>
        <item x="79"/>
        <item x="6"/>
        <item x="7"/>
        <item x="19"/>
        <item x="53"/>
        <item x="21"/>
        <item x="54"/>
        <item x="75"/>
        <item x="8"/>
        <item x="2"/>
        <item x="38"/>
        <item x="10"/>
        <item x="35"/>
        <item x="9"/>
        <item x="22"/>
        <item x="33"/>
        <item x="70"/>
        <item x="71"/>
        <item x="44"/>
        <item x="45"/>
        <item x="18"/>
        <item x="46"/>
        <item x="65"/>
        <item x="72"/>
        <item x="36"/>
        <item x="11"/>
        <item x="37"/>
        <item x="77"/>
        <item t="default"/>
      </items>
    </pivotField>
    <pivotField numFmtId="14" showAll="0"/>
    <pivotField showAll="0"/>
    <pivotField showAll="0"/>
    <pivotField showAll="0"/>
    <pivotField showAll="0"/>
    <pivotField numFmtId="164" showAll="0"/>
    <pivotField showAll="0"/>
    <pivotField axis="axisCol" showAll="0">
      <items count="5">
        <item x="3"/>
        <item x="0"/>
        <item x="1"/>
        <item x="2"/>
        <item t="default"/>
      </items>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9"/>
  </rowFields>
  <rowItems count="23">
    <i>
      <x v="1"/>
    </i>
    <i>
      <x v="2"/>
    </i>
    <i>
      <x v="4"/>
    </i>
    <i>
      <x v="5"/>
    </i>
    <i>
      <x v="6"/>
    </i>
    <i>
      <x v="7"/>
    </i>
    <i>
      <x v="8"/>
    </i>
    <i>
      <x v="9"/>
    </i>
    <i>
      <x v="10"/>
    </i>
    <i>
      <x v="11"/>
    </i>
    <i>
      <x v="12"/>
    </i>
    <i>
      <x v="13"/>
    </i>
    <i>
      <x v="14"/>
    </i>
    <i>
      <x v="16"/>
    </i>
    <i>
      <x v="17"/>
    </i>
    <i>
      <x v="18"/>
    </i>
    <i>
      <x v="19"/>
    </i>
    <i>
      <x v="20"/>
    </i>
    <i>
      <x v="21"/>
    </i>
    <i>
      <x v="22"/>
    </i>
    <i>
      <x v="23"/>
    </i>
    <i>
      <x v="24"/>
    </i>
    <i t="grand">
      <x/>
    </i>
  </rowItems>
  <colFields count="1">
    <field x="14"/>
  </colFields>
  <colItems count="5">
    <i>
      <x/>
    </i>
    <i>
      <x v="1"/>
    </i>
    <i>
      <x v="2"/>
    </i>
    <i>
      <x v="3"/>
    </i>
    <i t="grand">
      <x/>
    </i>
  </colItems>
  <dataFields count="1">
    <dataField name="Count of الرقم الوظيفي" fld="1" subtotal="count" baseField="0" baseItem="0"/>
  </dataFields>
  <formats count="16">
    <format dxfId="644">
      <pivotArea grandRow="1" outline="0" collapsedLevelsAreSubtotals="1" fieldPosition="0"/>
    </format>
    <format dxfId="643">
      <pivotArea type="all" dataOnly="0" outline="0" fieldPosition="0"/>
    </format>
    <format dxfId="642">
      <pivotArea outline="0" collapsedLevelsAreSubtotals="1" fieldPosition="0"/>
    </format>
    <format dxfId="641">
      <pivotArea type="origin" dataOnly="0" labelOnly="1" outline="0" fieldPosition="0"/>
    </format>
    <format dxfId="640">
      <pivotArea field="5" type="button" dataOnly="0" labelOnly="1" outline="0"/>
    </format>
    <format dxfId="639">
      <pivotArea type="topRight" dataOnly="0" labelOnly="1" outline="0" fieldPosition="0"/>
    </format>
    <format dxfId="638">
      <pivotArea field="16" type="button" dataOnly="0" labelOnly="1" outline="0"/>
    </format>
    <format dxfId="637">
      <pivotArea dataOnly="0" labelOnly="1" grandRow="1" outline="0" fieldPosition="0"/>
    </format>
    <format dxfId="636">
      <pivotArea dataOnly="0" labelOnly="1" grandCol="1" outline="0" fieldPosition="0"/>
    </format>
    <format dxfId="635">
      <pivotArea dataOnly="0" labelOnly="1" grandCol="1" outline="0" fieldPosition="0"/>
    </format>
    <format dxfId="634">
      <pivotArea field="5" type="button" dataOnly="0" labelOnly="1" outline="0"/>
    </format>
    <format dxfId="633">
      <pivotArea field="5" type="button" dataOnly="0" labelOnly="1" outline="0"/>
    </format>
    <format dxfId="632">
      <pivotArea dataOnly="0" labelOnly="1" grandCol="1" outline="0" fieldPosition="0"/>
    </format>
    <format dxfId="631">
      <pivotArea collapsedLevelsAreSubtotals="1" fieldPosition="0">
        <references count="1">
          <reference field="14" count="0"/>
        </references>
      </pivotArea>
    </format>
    <format dxfId="630">
      <pivotArea outline="0" collapsedLevelsAreSubtotals="1" fieldPosition="0">
        <references count="1">
          <reference field="14" count="0" selected="0"/>
        </references>
      </pivotArea>
    </format>
    <format dxfId="629">
      <pivotArea grandRow="1" grandCol="1" outline="0" collapsedLevelsAreSubtotals="1" fieldPosition="0"/>
    </format>
  </formats>
  <conditionalFormats count="1">
    <conditionalFormat priority="2">
      <pivotAreas count="1">
        <pivotArea type="data" collapsedLevelsAreSubtotals="1" fieldPosition="0">
          <references count="3">
            <reference field="4294967294" count="1" selected="0">
              <x v="0"/>
            </reference>
            <reference field="14" count="4" selected="0">
              <x v="0"/>
              <x v="1"/>
              <x v="2"/>
              <x v="3"/>
            </reference>
            <reference field="19" count="22">
              <x v="1"/>
              <x v="2"/>
              <x v="4"/>
              <x v="5"/>
              <x v="6"/>
              <x v="7"/>
              <x v="8"/>
              <x v="9"/>
              <x v="10"/>
              <x v="11"/>
              <x v="12"/>
              <x v="13"/>
              <x v="14"/>
              <x v="16"/>
              <x v="17"/>
              <x v="18"/>
              <x v="19"/>
              <x v="20"/>
              <x v="21"/>
              <x v="22"/>
              <x v="23"/>
              <x v="24"/>
            </reference>
          </references>
        </pivotArea>
      </pivotAreas>
    </conditionalFormat>
  </conditionalFormats>
  <chartFormats count="4">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7A25BE-CAB0-4D83-85BB-148327DD60AA}" name="PivotTable5" cacheId="8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Job Title" colHeaderCaption="Branch">
  <location ref="H34:I48" firstHeaderRow="1" firstDataRow="1" firstDataCol="1"/>
  <pivotFields count="20">
    <pivotField showAll="0"/>
    <pivotField showAll="0"/>
    <pivotField showAll="0"/>
    <pivotField axis="axisRow" showAll="0" sortType="descending">
      <items count="14">
        <item x="3"/>
        <item x="11"/>
        <item x="2"/>
        <item x="7"/>
        <item x="4"/>
        <item x="5"/>
        <item x="8"/>
        <item x="10"/>
        <item x="12"/>
        <item x="6"/>
        <item x="0"/>
        <item x="1"/>
        <item x="9"/>
        <item t="default"/>
      </items>
      <autoSortScope>
        <pivotArea dataOnly="0" outline="0" fieldPosition="0">
          <references count="1">
            <reference field="4294967294" count="1" selected="0">
              <x v="0"/>
            </reference>
          </references>
        </pivotArea>
      </autoSortScope>
    </pivotField>
    <pivotField showAll="0">
      <items count="8">
        <item x="1"/>
        <item x="2"/>
        <item x="3"/>
        <item x="4"/>
        <item x="0"/>
        <item m="1" x="5"/>
        <item m="1" x="6"/>
        <item t="default"/>
      </items>
    </pivotField>
    <pivotField showAll="0">
      <items count="4">
        <item x="1"/>
        <item x="0"/>
        <item x="2"/>
        <item t="default"/>
      </items>
    </pivotField>
    <pivotField numFmtId="14" showAll="0">
      <items count="82">
        <item x="47"/>
        <item x="23"/>
        <item x="24"/>
        <item x="48"/>
        <item x="15"/>
        <item x="25"/>
        <item x="12"/>
        <item x="49"/>
        <item x="0"/>
        <item x="26"/>
        <item x="50"/>
        <item x="41"/>
        <item x="34"/>
        <item x="59"/>
        <item x="51"/>
        <item x="78"/>
        <item x="42"/>
        <item x="64"/>
        <item x="60"/>
        <item x="13"/>
        <item x="68"/>
        <item x="61"/>
        <item x="55"/>
        <item x="16"/>
        <item x="40"/>
        <item x="39"/>
        <item x="17"/>
        <item x="56"/>
        <item x="43"/>
        <item x="76"/>
        <item x="80"/>
        <item x="74"/>
        <item x="57"/>
        <item x="62"/>
        <item x="58"/>
        <item x="69"/>
        <item x="1"/>
        <item x="66"/>
        <item x="3"/>
        <item x="4"/>
        <item x="14"/>
        <item x="67"/>
        <item x="20"/>
        <item x="27"/>
        <item x="28"/>
        <item x="5"/>
        <item x="32"/>
        <item x="73"/>
        <item x="29"/>
        <item x="30"/>
        <item x="52"/>
        <item x="63"/>
        <item x="31"/>
        <item x="79"/>
        <item x="6"/>
        <item x="7"/>
        <item x="19"/>
        <item x="53"/>
        <item x="21"/>
        <item x="54"/>
        <item x="75"/>
        <item x="8"/>
        <item x="2"/>
        <item x="38"/>
        <item x="10"/>
        <item x="35"/>
        <item x="9"/>
        <item x="22"/>
        <item x="33"/>
        <item x="70"/>
        <item x="71"/>
        <item x="44"/>
        <item x="45"/>
        <item x="18"/>
        <item x="46"/>
        <item x="65"/>
        <item x="72"/>
        <item x="36"/>
        <item x="11"/>
        <item x="37"/>
        <item x="77"/>
        <item t="default"/>
      </items>
    </pivotField>
    <pivotField numFmtId="14" showAll="0"/>
    <pivotField showAll="0"/>
    <pivotField dataField="1" showAll="0"/>
    <pivotField showAll="0"/>
    <pivotField showAll="0"/>
    <pivotField numFmtId="164" showAll="0"/>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
  </rowFields>
  <rowItems count="14">
    <i>
      <x v="10"/>
    </i>
    <i>
      <x v="2"/>
    </i>
    <i>
      <x v="6"/>
    </i>
    <i>
      <x v="7"/>
    </i>
    <i>
      <x v="4"/>
    </i>
    <i>
      <x v="8"/>
    </i>
    <i>
      <x v="1"/>
    </i>
    <i>
      <x v="11"/>
    </i>
    <i>
      <x/>
    </i>
    <i>
      <x v="3"/>
    </i>
    <i>
      <x v="9"/>
    </i>
    <i>
      <x v="5"/>
    </i>
    <i>
      <x v="12"/>
    </i>
    <i t="grand">
      <x/>
    </i>
  </rowItems>
  <colItems count="1">
    <i/>
  </colItems>
  <dataFields count="1">
    <dataField name="Average of الراتب" fld="9" subtotal="average" baseField="3" baseItem="0"/>
  </dataFields>
  <formats count="14">
    <format dxfId="658">
      <pivotArea grandRow="1" outline="0" collapsedLevelsAreSubtotals="1" fieldPosition="0"/>
    </format>
    <format dxfId="657">
      <pivotArea type="all" dataOnly="0" outline="0" fieldPosition="0"/>
    </format>
    <format dxfId="656">
      <pivotArea outline="0" collapsedLevelsAreSubtotals="1" fieldPosition="0"/>
    </format>
    <format dxfId="655">
      <pivotArea type="origin" dataOnly="0" labelOnly="1" outline="0" fieldPosition="0"/>
    </format>
    <format dxfId="654">
      <pivotArea field="5" type="button" dataOnly="0" labelOnly="1" outline="0"/>
    </format>
    <format dxfId="653">
      <pivotArea type="topRight" dataOnly="0" labelOnly="1" outline="0" fieldPosition="0"/>
    </format>
    <format dxfId="652">
      <pivotArea field="16" type="button" dataOnly="0" labelOnly="1" outline="0"/>
    </format>
    <format dxfId="651">
      <pivotArea dataOnly="0" labelOnly="1" grandRow="1" outline="0" fieldPosition="0"/>
    </format>
    <format dxfId="650">
      <pivotArea dataOnly="0" labelOnly="1" grandCol="1" outline="0" fieldPosition="0"/>
    </format>
    <format dxfId="649">
      <pivotArea dataOnly="0" labelOnly="1" grandCol="1" outline="0" fieldPosition="0"/>
    </format>
    <format dxfId="648">
      <pivotArea field="5" type="button" dataOnly="0" labelOnly="1" outline="0"/>
    </format>
    <format dxfId="647">
      <pivotArea field="5" type="button" dataOnly="0" labelOnly="1" outline="0"/>
    </format>
    <format dxfId="646">
      <pivotArea dataOnly="0" labelOnly="1" grandCol="1" outline="0" fieldPosition="0"/>
    </format>
    <format dxfId="645">
      <pivotArea collapsedLevelsAreSubtotals="1" fieldPosition="0">
        <references count="1">
          <reference field="3" count="0"/>
        </references>
      </pivotArea>
    </format>
  </formats>
  <conditionalFormats count="2">
    <conditionalFormat priority="5">
      <pivotAreas count="1">
        <pivotArea type="data" collapsedLevelsAreSubtotals="1" fieldPosition="0">
          <references count="2">
            <reference field="4294967294" count="1" selected="0">
              <x v="0"/>
            </reference>
            <reference field="3" count="13">
              <x v="0"/>
              <x v="1"/>
              <x v="2"/>
              <x v="3"/>
              <x v="4"/>
              <x v="5"/>
              <x v="6"/>
              <x v="7"/>
              <x v="8"/>
              <x v="9"/>
              <x v="10"/>
              <x v="11"/>
              <x v="12"/>
            </reference>
          </references>
        </pivotArea>
      </pivotAreas>
    </conditionalFormat>
    <conditionalFormat priority="6">
      <pivotAreas count="1">
        <pivotArea type="data" collapsedLevelsAreSubtotals="1" fieldPosition="0">
          <references count="2">
            <reference field="4294967294" count="1" selected="0">
              <x v="0"/>
            </reference>
            <reference field="3" count="13">
              <x v="0"/>
              <x v="1"/>
              <x v="2"/>
              <x v="3"/>
              <x v="4"/>
              <x v="5"/>
              <x v="6"/>
              <x v="7"/>
              <x v="8"/>
              <x v="9"/>
              <x v="10"/>
              <x v="11"/>
              <x v="12"/>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3163D5-DB02-4A3D-9C72-801D9EDCF281}" name="PivotTable13" cacheId="8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erformance" colHeaderCaption="Branch">
  <location ref="A67:B70" firstHeaderRow="1" firstDataRow="1" firstDataCol="1"/>
  <pivotFields count="20">
    <pivotField showAll="0"/>
    <pivotField showAll="0"/>
    <pivotField showAll="0"/>
    <pivotField showAll="0"/>
    <pivotField dataField="1" showAll="0">
      <items count="8">
        <item x="1"/>
        <item x="2"/>
        <item x="3"/>
        <item x="4"/>
        <item x="0"/>
        <item m="1" x="6"/>
        <item m="1" x="5"/>
        <item t="default"/>
      </items>
    </pivotField>
    <pivotField showAll="0">
      <items count="4">
        <item x="1"/>
        <item x="0"/>
        <item x="2"/>
        <item t="default"/>
      </items>
    </pivotField>
    <pivotField numFmtId="14" showAll="0">
      <items count="82">
        <item x="47"/>
        <item x="23"/>
        <item x="24"/>
        <item x="48"/>
        <item x="15"/>
        <item x="25"/>
        <item x="12"/>
        <item x="49"/>
        <item x="0"/>
        <item x="26"/>
        <item x="50"/>
        <item x="41"/>
        <item x="34"/>
        <item x="59"/>
        <item x="51"/>
        <item x="78"/>
        <item x="42"/>
        <item x="64"/>
        <item x="60"/>
        <item x="13"/>
        <item x="68"/>
        <item x="61"/>
        <item x="55"/>
        <item x="16"/>
        <item x="40"/>
        <item x="39"/>
        <item x="17"/>
        <item x="56"/>
        <item x="43"/>
        <item x="76"/>
        <item x="80"/>
        <item x="74"/>
        <item x="57"/>
        <item x="62"/>
        <item x="58"/>
        <item x="69"/>
        <item x="1"/>
        <item x="66"/>
        <item x="3"/>
        <item x="4"/>
        <item x="14"/>
        <item x="67"/>
        <item x="20"/>
        <item x="27"/>
        <item x="28"/>
        <item x="5"/>
        <item x="32"/>
        <item x="73"/>
        <item x="29"/>
        <item x="30"/>
        <item x="52"/>
        <item x="63"/>
        <item x="31"/>
        <item x="79"/>
        <item x="6"/>
        <item x="7"/>
        <item x="19"/>
        <item x="53"/>
        <item x="21"/>
        <item x="54"/>
        <item x="75"/>
        <item x="8"/>
        <item x="2"/>
        <item x="38"/>
        <item x="10"/>
        <item x="35"/>
        <item x="9"/>
        <item x="22"/>
        <item x="33"/>
        <item x="70"/>
        <item x="71"/>
        <item x="44"/>
        <item x="45"/>
        <item x="18"/>
        <item x="46"/>
        <item x="65"/>
        <item x="72"/>
        <item x="36"/>
        <item x="11"/>
        <item x="37"/>
        <item x="77"/>
        <item t="default"/>
      </items>
    </pivotField>
    <pivotField numFmtId="14" showAll="0"/>
    <pivotField showAll="0"/>
    <pivotField showAll="0"/>
    <pivotField showAll="0"/>
    <pivotField showAll="0"/>
    <pivotField numFmtId="164" showAll="0"/>
    <pivotField showAll="0"/>
    <pivotField showAll="0"/>
    <pivotField showAll="0"/>
    <pivotField axis="axisRow"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6"/>
  </rowFields>
  <rowItems count="3">
    <i>
      <x/>
    </i>
    <i>
      <x v="1"/>
    </i>
    <i t="grand">
      <x/>
    </i>
  </rowItems>
  <colItems count="1">
    <i/>
  </colItems>
  <dataFields count="1">
    <dataField name="# القسم" fld="4" subtotal="count" baseField="0" baseItem="0"/>
  </dataFields>
  <formats count="16">
    <format dxfId="674">
      <pivotArea type="all" dataOnly="0" outline="0" fieldPosition="0"/>
    </format>
    <format dxfId="673">
      <pivotArea outline="0" collapsedLevelsAreSubtotals="1" fieldPosition="0"/>
    </format>
    <format dxfId="672">
      <pivotArea type="origin" dataOnly="0" labelOnly="1" outline="0" fieldPosition="0"/>
    </format>
    <format dxfId="671">
      <pivotArea field="5" type="button" dataOnly="0" labelOnly="1" outline="0"/>
    </format>
    <format dxfId="670">
      <pivotArea type="topRight" dataOnly="0" labelOnly="1" outline="0" fieldPosition="0"/>
    </format>
    <format dxfId="669">
      <pivotArea field="16" type="button" dataOnly="0" labelOnly="1" outline="0" axis="axisRow" fieldPosition="0"/>
    </format>
    <format dxfId="668">
      <pivotArea dataOnly="0" labelOnly="1" grandRow="1" outline="0" fieldPosition="0"/>
    </format>
    <format dxfId="667">
      <pivotArea dataOnly="0" labelOnly="1" grandCol="1" outline="0" fieldPosition="0"/>
    </format>
    <format dxfId="666">
      <pivotArea dataOnly="0" labelOnly="1" grandCol="1" outline="0" fieldPosition="0"/>
    </format>
    <format dxfId="665">
      <pivotArea field="5" type="button" dataOnly="0" labelOnly="1" outline="0"/>
    </format>
    <format dxfId="664">
      <pivotArea field="5" type="button" dataOnly="0" labelOnly="1" outline="0"/>
    </format>
    <format dxfId="663">
      <pivotArea dataOnly="0" labelOnly="1" grandCol="1" outline="0" fieldPosition="0"/>
    </format>
    <format dxfId="662">
      <pivotArea field="4" type="button" dataOnly="0" labelOnly="1" outline="0"/>
    </format>
    <format dxfId="661">
      <pivotArea field="4" type="button" dataOnly="0" labelOnly="1" outline="0"/>
    </format>
    <format dxfId="660">
      <pivotArea field="4" type="button" dataOnly="0" labelOnly="1" outline="0"/>
    </format>
    <format dxfId="659">
      <pivotArea grandRow="1" outline="0" collapsedLevelsAreSubtotals="1" fieldPosition="0"/>
    </format>
  </formats>
  <conditionalFormats count="1">
    <conditionalFormat priority="14">
      <pivotAreas count="1">
        <pivotArea type="data" collapsedLevelsAreSubtotals="1" fieldPosition="0">
          <references count="2">
            <reference field="4294967294" count="1" selected="0">
              <x v="0"/>
            </reference>
            <reference field="16" count="2">
              <x v="0"/>
              <x v="1"/>
            </reference>
          </references>
        </pivotArea>
      </pivotAreas>
    </conditionalFormat>
  </conditional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6" count="1" selected="0">
            <x v="0"/>
          </reference>
        </references>
      </pivotArea>
    </chartFormat>
    <chartFormat chart="15" format="6">
      <pivotArea type="data" outline="0" fieldPosition="0">
        <references count="2">
          <reference field="4294967294" count="1" selected="0">
            <x v="0"/>
          </reference>
          <reference field="16"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27FB98-F9A3-488C-8092-5DCBBFFEA54D}" name="PivotTable9" cacheId="8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Job Title" colHeaderCaption="Branch">
  <location ref="D60:E74" firstHeaderRow="1" firstDataRow="1" firstDataCol="1"/>
  <pivotFields count="20">
    <pivotField showAll="0"/>
    <pivotField showAll="0"/>
    <pivotField showAll="0"/>
    <pivotField axis="axisRow" showAll="0" sortType="descending">
      <items count="14">
        <item x="3"/>
        <item x="11"/>
        <item x="2"/>
        <item x="7"/>
        <item x="4"/>
        <item x="5"/>
        <item x="8"/>
        <item x="10"/>
        <item x="12"/>
        <item x="6"/>
        <item x="0"/>
        <item x="1"/>
        <item x="9"/>
        <item t="default"/>
      </items>
      <autoSortScope>
        <pivotArea dataOnly="0" outline="0" fieldPosition="0">
          <references count="1">
            <reference field="4294967294" count="1" selected="0">
              <x v="0"/>
            </reference>
          </references>
        </pivotArea>
      </autoSortScope>
    </pivotField>
    <pivotField showAll="0">
      <items count="8">
        <item x="1"/>
        <item x="2"/>
        <item x="3"/>
        <item x="4"/>
        <item x="0"/>
        <item m="1" x="6"/>
        <item m="1" x="5"/>
        <item t="default"/>
      </items>
    </pivotField>
    <pivotField dataField="1" showAll="0">
      <items count="4">
        <item x="1"/>
        <item x="0"/>
        <item x="2"/>
        <item t="default"/>
      </items>
    </pivotField>
    <pivotField numFmtId="14" showAll="0">
      <items count="82">
        <item x="47"/>
        <item x="23"/>
        <item x="24"/>
        <item x="48"/>
        <item x="15"/>
        <item x="25"/>
        <item x="12"/>
        <item x="49"/>
        <item x="0"/>
        <item x="26"/>
        <item x="50"/>
        <item x="41"/>
        <item x="34"/>
        <item x="59"/>
        <item x="51"/>
        <item x="78"/>
        <item x="42"/>
        <item x="64"/>
        <item x="60"/>
        <item x="13"/>
        <item x="68"/>
        <item x="61"/>
        <item x="55"/>
        <item x="16"/>
        <item x="40"/>
        <item x="39"/>
        <item x="17"/>
        <item x="56"/>
        <item x="43"/>
        <item x="76"/>
        <item x="80"/>
        <item x="74"/>
        <item x="57"/>
        <item x="62"/>
        <item x="58"/>
        <item x="69"/>
        <item x="1"/>
        <item x="66"/>
        <item x="3"/>
        <item x="4"/>
        <item x="14"/>
        <item x="67"/>
        <item x="20"/>
        <item x="27"/>
        <item x="28"/>
        <item x="5"/>
        <item x="32"/>
        <item x="73"/>
        <item x="29"/>
        <item x="30"/>
        <item x="52"/>
        <item x="63"/>
        <item x="31"/>
        <item x="79"/>
        <item x="6"/>
        <item x="7"/>
        <item x="19"/>
        <item x="53"/>
        <item x="21"/>
        <item x="54"/>
        <item x="75"/>
        <item x="8"/>
        <item x="2"/>
        <item x="38"/>
        <item x="10"/>
        <item x="35"/>
        <item x="9"/>
        <item x="22"/>
        <item x="33"/>
        <item x="70"/>
        <item x="71"/>
        <item x="44"/>
        <item x="45"/>
        <item x="18"/>
        <item x="46"/>
        <item x="65"/>
        <item x="72"/>
        <item x="36"/>
        <item x="11"/>
        <item x="37"/>
        <item x="77"/>
        <item t="default"/>
      </items>
    </pivotField>
    <pivotField numFmtId="14" showAll="0"/>
    <pivotField showAll="0"/>
    <pivotField showAll="0"/>
    <pivotField showAll="0"/>
    <pivotField showAll="0"/>
    <pivotField numFmtId="164" showAll="0"/>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
  </rowFields>
  <rowItems count="14">
    <i>
      <x v="11"/>
    </i>
    <i>
      <x v="8"/>
    </i>
    <i>
      <x v="9"/>
    </i>
    <i>
      <x/>
    </i>
    <i>
      <x v="3"/>
    </i>
    <i>
      <x v="5"/>
    </i>
    <i>
      <x v="12"/>
    </i>
    <i>
      <x v="1"/>
    </i>
    <i>
      <x v="7"/>
    </i>
    <i>
      <x v="10"/>
    </i>
    <i>
      <x v="2"/>
    </i>
    <i>
      <x v="4"/>
    </i>
    <i>
      <x v="6"/>
    </i>
    <i t="grand">
      <x/>
    </i>
  </rowItems>
  <colItems count="1">
    <i/>
  </colItems>
  <dataFields count="1">
    <dataField name="# الموقع" fld="5" subtotal="count" baseField="3" baseItem="0"/>
  </dataFields>
  <formats count="16">
    <format dxfId="690">
      <pivotArea type="all" dataOnly="0" outline="0" fieldPosition="0"/>
    </format>
    <format dxfId="689">
      <pivotArea outline="0" collapsedLevelsAreSubtotals="1" fieldPosition="0"/>
    </format>
    <format dxfId="688">
      <pivotArea type="origin" dataOnly="0" labelOnly="1" outline="0" fieldPosition="0"/>
    </format>
    <format dxfId="687">
      <pivotArea field="5" type="button" dataOnly="0" labelOnly="1" outline="0"/>
    </format>
    <format dxfId="686">
      <pivotArea type="topRight" dataOnly="0" labelOnly="1" outline="0" fieldPosition="0"/>
    </format>
    <format dxfId="685">
      <pivotArea field="16" type="button" dataOnly="0" labelOnly="1" outline="0"/>
    </format>
    <format dxfId="684">
      <pivotArea dataOnly="0" labelOnly="1" grandRow="1" outline="0" fieldPosition="0"/>
    </format>
    <format dxfId="683">
      <pivotArea dataOnly="0" labelOnly="1" grandCol="1" outline="0" fieldPosition="0"/>
    </format>
    <format dxfId="682">
      <pivotArea dataOnly="0" labelOnly="1" grandCol="1" outline="0" fieldPosition="0"/>
    </format>
    <format dxfId="681">
      <pivotArea field="5" type="button" dataOnly="0" labelOnly="1" outline="0"/>
    </format>
    <format dxfId="680">
      <pivotArea field="5" type="button" dataOnly="0" labelOnly="1" outline="0"/>
    </format>
    <format dxfId="679">
      <pivotArea dataOnly="0" labelOnly="1" grandCol="1" outline="0" fieldPosition="0"/>
    </format>
    <format dxfId="678">
      <pivotArea field="4" type="button" dataOnly="0" labelOnly="1" outline="0"/>
    </format>
    <format dxfId="677">
      <pivotArea field="4" type="button" dataOnly="0" labelOnly="1" outline="0"/>
    </format>
    <format dxfId="676">
      <pivotArea field="4" type="button" dataOnly="0" labelOnly="1" outline="0"/>
    </format>
    <format dxfId="675">
      <pivotArea grandRow="1" outline="0" collapsedLevelsAreSubtotals="1" fieldPosition="0"/>
    </format>
  </formats>
  <conditionalFormats count="2">
    <conditionalFormat priority="7">
      <pivotAreas count="1">
        <pivotArea type="data" collapsedLevelsAreSubtotals="1" fieldPosition="0">
          <references count="2">
            <reference field="4294967294" count="1" selected="0">
              <x v="0"/>
            </reference>
            <reference field="3" count="13">
              <x v="0"/>
              <x v="1"/>
              <x v="2"/>
              <x v="3"/>
              <x v="4"/>
              <x v="5"/>
              <x v="6"/>
              <x v="7"/>
              <x v="8"/>
              <x v="9"/>
              <x v="10"/>
              <x v="11"/>
              <x v="12"/>
            </reference>
          </references>
        </pivotArea>
      </pivotAreas>
    </conditionalFormat>
    <conditionalFormat priority="8">
      <pivotAreas count="1">
        <pivotArea type="data" collapsedLevelsAreSubtotals="1" fieldPosition="0">
          <references count="2">
            <reference field="4294967294" count="1" selected="0">
              <x v="0"/>
            </reference>
            <reference field="3" count="13">
              <x v="0"/>
              <x v="1"/>
              <x v="2"/>
              <x v="3"/>
              <x v="4"/>
              <x v="5"/>
              <x v="6"/>
              <x v="7"/>
              <x v="8"/>
              <x v="9"/>
              <x v="10"/>
              <x v="11"/>
              <x v="12"/>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F9EA8E-4A82-489D-B4E2-6EB0DFCE372C}" name="PivotTable4" cacheId="8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القسم" colHeaderCaption="Branch">
  <location ref="D22:E28" firstHeaderRow="1" firstDataRow="1" firstDataCol="1"/>
  <pivotFields count="20">
    <pivotField showAll="0"/>
    <pivotField dataField="1" showAll="0"/>
    <pivotField showAll="0"/>
    <pivotField showAll="0"/>
    <pivotField axis="axisRow" showAll="0">
      <items count="8">
        <item x="1"/>
        <item x="2"/>
        <item x="3"/>
        <item x="4"/>
        <item x="0"/>
        <item m="1" x="6"/>
        <item m="1" x="5"/>
        <item t="default"/>
      </items>
    </pivotField>
    <pivotField showAll="0">
      <items count="4">
        <item x="1"/>
        <item x="0"/>
        <item x="2"/>
        <item t="default"/>
      </items>
    </pivotField>
    <pivotField numFmtId="14" showAll="0">
      <items count="82">
        <item x="47"/>
        <item x="23"/>
        <item x="24"/>
        <item x="48"/>
        <item x="15"/>
        <item x="25"/>
        <item x="12"/>
        <item x="49"/>
        <item x="0"/>
        <item x="26"/>
        <item x="50"/>
        <item x="41"/>
        <item x="34"/>
        <item x="59"/>
        <item x="51"/>
        <item x="78"/>
        <item x="42"/>
        <item x="64"/>
        <item x="60"/>
        <item x="13"/>
        <item x="68"/>
        <item x="61"/>
        <item x="55"/>
        <item x="16"/>
        <item x="40"/>
        <item x="39"/>
        <item x="17"/>
        <item x="56"/>
        <item x="43"/>
        <item x="76"/>
        <item x="80"/>
        <item x="74"/>
        <item x="57"/>
        <item x="62"/>
        <item x="58"/>
        <item x="69"/>
        <item x="1"/>
        <item x="66"/>
        <item x="3"/>
        <item x="4"/>
        <item x="14"/>
        <item x="67"/>
        <item x="20"/>
        <item x="27"/>
        <item x="28"/>
        <item x="5"/>
        <item x="32"/>
        <item x="73"/>
        <item x="29"/>
        <item x="30"/>
        <item x="52"/>
        <item x="63"/>
        <item x="31"/>
        <item x="79"/>
        <item x="6"/>
        <item x="7"/>
        <item x="19"/>
        <item x="53"/>
        <item x="21"/>
        <item x="54"/>
        <item x="75"/>
        <item x="8"/>
        <item x="2"/>
        <item x="38"/>
        <item x="10"/>
        <item x="35"/>
        <item x="9"/>
        <item x="22"/>
        <item x="33"/>
        <item x="70"/>
        <item x="71"/>
        <item x="44"/>
        <item x="45"/>
        <item x="18"/>
        <item x="46"/>
        <item x="65"/>
        <item x="72"/>
        <item x="36"/>
        <item x="11"/>
        <item x="37"/>
        <item x="77"/>
        <item t="default"/>
      </items>
    </pivotField>
    <pivotField numFmtId="14" showAll="0"/>
    <pivotField showAll="0"/>
    <pivotField showAll="0"/>
    <pivotField showAll="0"/>
    <pivotField showAll="0"/>
    <pivotField numFmtId="164" showAll="0"/>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6">
    <i>
      <x/>
    </i>
    <i>
      <x v="1"/>
    </i>
    <i>
      <x v="2"/>
    </i>
    <i>
      <x v="3"/>
    </i>
    <i>
      <x v="4"/>
    </i>
    <i t="grand">
      <x/>
    </i>
  </rowItems>
  <colItems count="1">
    <i/>
  </colItems>
  <dataFields count="1">
    <dataField name="# الرقم الوظيفي" fld="1" subtotal="count" baseField="0" baseItem="0"/>
  </dataFields>
  <formats count="16">
    <format dxfId="706">
      <pivotArea type="all" dataOnly="0" outline="0" fieldPosition="0"/>
    </format>
    <format dxfId="705">
      <pivotArea outline="0" collapsedLevelsAreSubtotals="1" fieldPosition="0"/>
    </format>
    <format dxfId="704">
      <pivotArea type="origin" dataOnly="0" labelOnly="1" outline="0" fieldPosition="0"/>
    </format>
    <format dxfId="703">
      <pivotArea field="5" type="button" dataOnly="0" labelOnly="1" outline="0"/>
    </format>
    <format dxfId="702">
      <pivotArea type="topRight" dataOnly="0" labelOnly="1" outline="0" fieldPosition="0"/>
    </format>
    <format dxfId="701">
      <pivotArea field="16" type="button" dataOnly="0" labelOnly="1" outline="0"/>
    </format>
    <format dxfId="700">
      <pivotArea dataOnly="0" labelOnly="1" grandRow="1" outline="0" fieldPosition="0"/>
    </format>
    <format dxfId="699">
      <pivotArea dataOnly="0" labelOnly="1" grandCol="1" outline="0" fieldPosition="0"/>
    </format>
    <format dxfId="698">
      <pivotArea dataOnly="0" labelOnly="1" grandCol="1" outline="0" fieldPosition="0"/>
    </format>
    <format dxfId="697">
      <pivotArea field="5" type="button" dataOnly="0" labelOnly="1" outline="0"/>
    </format>
    <format dxfId="696">
      <pivotArea field="5" type="button" dataOnly="0" labelOnly="1" outline="0"/>
    </format>
    <format dxfId="695">
      <pivotArea dataOnly="0" labelOnly="1" grandCol="1" outline="0" fieldPosition="0"/>
    </format>
    <format dxfId="694">
      <pivotArea field="4" type="button" dataOnly="0" labelOnly="1" outline="0" axis="axisRow" fieldPosition="0"/>
    </format>
    <format dxfId="693">
      <pivotArea field="4" type="button" dataOnly="0" labelOnly="1" outline="0" axis="axisRow" fieldPosition="0"/>
    </format>
    <format dxfId="692">
      <pivotArea field="4" type="button" dataOnly="0" labelOnly="1" outline="0" axis="axisRow" fieldPosition="0"/>
    </format>
    <format dxfId="691">
      <pivotArea grandRow="1" outline="0" collapsedLevelsAreSubtotals="1" fieldPosition="0"/>
    </format>
  </formats>
  <conditionalFormats count="2">
    <conditionalFormat priority="3">
      <pivotAreas count="1">
        <pivotArea type="data" collapsedLevelsAreSubtotals="1" fieldPosition="0">
          <references count="2">
            <reference field="4294967294" count="1" selected="0">
              <x v="0"/>
            </reference>
            <reference field="4" count="6">
              <x v="0"/>
              <x v="1"/>
              <x v="2"/>
              <x v="3"/>
              <x v="4"/>
              <x v="6"/>
            </reference>
          </references>
        </pivotArea>
      </pivotAreas>
    </conditionalFormat>
    <conditionalFormat priority="4">
      <pivotAreas count="1">
        <pivotArea type="data" collapsedLevelsAreSubtotals="1" fieldPosition="0">
          <references count="2">
            <reference field="4294967294" count="1" selected="0">
              <x v="0"/>
            </reference>
            <reference field="4" count="6">
              <x v="0"/>
              <x v="1"/>
              <x v="2"/>
              <x v="3"/>
              <x v="4"/>
              <x v="6"/>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8EBA14-8DE1-45D8-9133-4224FDF28D94}" name="PivotTable8" cacheId="8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المؤهل الدراسي" colHeaderCaption="Branch">
  <location ref="A60:B64" firstHeaderRow="1" firstDataRow="1" firstDataCol="1"/>
  <pivotFields count="20">
    <pivotField showAll="0"/>
    <pivotField dataField="1" showAll="0"/>
    <pivotField showAll="0"/>
    <pivotField showAll="0"/>
    <pivotField showAll="0">
      <items count="8">
        <item x="1"/>
        <item x="2"/>
        <item x="3"/>
        <item x="4"/>
        <item x="0"/>
        <item m="1" x="6"/>
        <item m="1" x="5"/>
        <item t="default"/>
      </items>
    </pivotField>
    <pivotField showAll="0">
      <items count="4">
        <item x="1"/>
        <item x="0"/>
        <item x="2"/>
        <item t="default"/>
      </items>
    </pivotField>
    <pivotField numFmtId="14" showAll="0">
      <items count="82">
        <item x="47"/>
        <item x="23"/>
        <item x="24"/>
        <item x="48"/>
        <item x="15"/>
        <item x="25"/>
        <item x="12"/>
        <item x="49"/>
        <item x="0"/>
        <item x="26"/>
        <item x="50"/>
        <item x="41"/>
        <item x="34"/>
        <item x="59"/>
        <item x="51"/>
        <item x="78"/>
        <item x="42"/>
        <item x="64"/>
        <item x="60"/>
        <item x="13"/>
        <item x="68"/>
        <item x="61"/>
        <item x="55"/>
        <item x="16"/>
        <item x="40"/>
        <item x="39"/>
        <item x="17"/>
        <item x="56"/>
        <item x="43"/>
        <item x="76"/>
        <item x="80"/>
        <item x="74"/>
        <item x="57"/>
        <item x="62"/>
        <item x="58"/>
        <item x="69"/>
        <item x="1"/>
        <item x="66"/>
        <item x="3"/>
        <item x="4"/>
        <item x="14"/>
        <item x="67"/>
        <item x="20"/>
        <item x="27"/>
        <item x="28"/>
        <item x="5"/>
        <item x="32"/>
        <item x="73"/>
        <item x="29"/>
        <item x="30"/>
        <item x="52"/>
        <item x="63"/>
        <item x="31"/>
        <item x="79"/>
        <item x="6"/>
        <item x="7"/>
        <item x="19"/>
        <item x="53"/>
        <item x="21"/>
        <item x="54"/>
        <item x="75"/>
        <item x="8"/>
        <item x="2"/>
        <item x="38"/>
        <item x="10"/>
        <item x="35"/>
        <item x="9"/>
        <item x="22"/>
        <item x="33"/>
        <item x="70"/>
        <item x="71"/>
        <item x="44"/>
        <item x="45"/>
        <item x="18"/>
        <item x="46"/>
        <item x="65"/>
        <item x="72"/>
        <item x="36"/>
        <item x="11"/>
        <item x="37"/>
        <item x="77"/>
        <item t="default"/>
      </items>
    </pivotField>
    <pivotField numFmtId="14"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8"/>
  </rowFields>
  <rowItems count="4">
    <i>
      <x/>
    </i>
    <i>
      <x v="1"/>
    </i>
    <i>
      <x v="2"/>
    </i>
    <i t="grand">
      <x/>
    </i>
  </rowItems>
  <colItems count="1">
    <i/>
  </colItems>
  <dataFields count="1">
    <dataField name="# الرقم الوظيفي" fld="1" subtotal="count" baseField="0" baseItem="0"/>
  </dataFields>
  <formats count="16">
    <format dxfId="722">
      <pivotArea type="all" dataOnly="0" outline="0" fieldPosition="0"/>
    </format>
    <format dxfId="721">
      <pivotArea outline="0" collapsedLevelsAreSubtotals="1" fieldPosition="0"/>
    </format>
    <format dxfId="720">
      <pivotArea type="origin" dataOnly="0" labelOnly="1" outline="0" fieldPosition="0"/>
    </format>
    <format dxfId="719">
      <pivotArea field="5" type="button" dataOnly="0" labelOnly="1" outline="0"/>
    </format>
    <format dxfId="718">
      <pivotArea type="topRight" dataOnly="0" labelOnly="1" outline="0" fieldPosition="0"/>
    </format>
    <format dxfId="717">
      <pivotArea field="16" type="button" dataOnly="0" labelOnly="1" outline="0"/>
    </format>
    <format dxfId="716">
      <pivotArea dataOnly="0" labelOnly="1" grandRow="1" outline="0" fieldPosition="0"/>
    </format>
    <format dxfId="715">
      <pivotArea dataOnly="0" labelOnly="1" grandCol="1" outline="0" fieldPosition="0"/>
    </format>
    <format dxfId="714">
      <pivotArea dataOnly="0" labelOnly="1" grandCol="1" outline="0" fieldPosition="0"/>
    </format>
    <format dxfId="713">
      <pivotArea field="5" type="button" dataOnly="0" labelOnly="1" outline="0"/>
    </format>
    <format dxfId="712">
      <pivotArea field="5" type="button" dataOnly="0" labelOnly="1" outline="0"/>
    </format>
    <format dxfId="711">
      <pivotArea dataOnly="0" labelOnly="1" grandCol="1" outline="0" fieldPosition="0"/>
    </format>
    <format dxfId="710">
      <pivotArea field="4" type="button" dataOnly="0" labelOnly="1" outline="0"/>
    </format>
    <format dxfId="709">
      <pivotArea field="4" type="button" dataOnly="0" labelOnly="1" outline="0"/>
    </format>
    <format dxfId="708">
      <pivotArea field="4" type="button" dataOnly="0" labelOnly="1" outline="0"/>
    </format>
    <format dxfId="707">
      <pivotArea grandRow="1" outline="0" collapsedLevelsAreSubtotals="1" fieldPosition="0"/>
    </format>
  </formats>
  <conditionalFormats count="2">
    <conditionalFormat priority="9">
      <pivotAreas count="1">
        <pivotArea type="data" collapsedLevelsAreSubtotals="1" fieldPosition="0">
          <references count="2">
            <reference field="4294967294" count="1" selected="0">
              <x v="0"/>
            </reference>
            <reference field="8" count="3">
              <x v="0"/>
              <x v="1"/>
              <x v="2"/>
            </reference>
          </references>
        </pivotArea>
      </pivotAreas>
    </conditionalFormat>
    <conditionalFormat priority="10">
      <pivotAreas count="1">
        <pivotArea type="data" collapsedLevelsAreSubtotals="1" fieldPosition="0">
          <references count="2">
            <reference field="4294967294" count="1" selected="0">
              <x v="0"/>
            </reference>
            <reference field="8" count="3">
              <x v="0"/>
              <x v="1"/>
              <x v="2"/>
            </reference>
          </references>
        </pivotArea>
      </pivotAreas>
    </conditionalFormat>
  </conditional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22A57F-5E24-4330-9947-7830EC739EEA}" name="PivotTable3" cacheId="8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Age Group" colHeaderCaption="Branch">
  <location ref="A22:B27" firstHeaderRow="1" firstDataRow="1" firstDataCol="1"/>
  <pivotFields count="20">
    <pivotField showAll="0"/>
    <pivotField showAll="0"/>
    <pivotField showAll="0"/>
    <pivotField showAll="0"/>
    <pivotField showAll="0">
      <items count="8">
        <item x="1"/>
        <item x="2"/>
        <item x="3"/>
        <item x="4"/>
        <item x="0"/>
        <item m="1" x="5"/>
        <item m="1" x="6"/>
        <item t="default"/>
      </items>
    </pivotField>
    <pivotField showAll="0">
      <items count="4">
        <item x="1"/>
        <item x="0"/>
        <item x="2"/>
        <item t="default"/>
      </items>
    </pivotField>
    <pivotField numFmtId="14" showAll="0">
      <items count="82">
        <item x="47"/>
        <item x="23"/>
        <item x="24"/>
        <item x="48"/>
        <item x="15"/>
        <item x="25"/>
        <item x="12"/>
        <item x="49"/>
        <item x="0"/>
        <item x="26"/>
        <item x="50"/>
        <item x="41"/>
        <item x="34"/>
        <item x="59"/>
        <item x="51"/>
        <item x="78"/>
        <item x="42"/>
        <item x="64"/>
        <item x="60"/>
        <item x="13"/>
        <item x="68"/>
        <item x="61"/>
        <item x="55"/>
        <item x="16"/>
        <item x="40"/>
        <item x="39"/>
        <item x="17"/>
        <item x="56"/>
        <item x="43"/>
        <item x="76"/>
        <item x="80"/>
        <item x="74"/>
        <item x="57"/>
        <item x="62"/>
        <item x="58"/>
        <item x="69"/>
        <item x="1"/>
        <item x="66"/>
        <item x="3"/>
        <item x="4"/>
        <item x="14"/>
        <item x="67"/>
        <item x="20"/>
        <item x="27"/>
        <item x="28"/>
        <item x="5"/>
        <item x="32"/>
        <item x="73"/>
        <item x="29"/>
        <item x="30"/>
        <item x="52"/>
        <item x="63"/>
        <item x="31"/>
        <item x="79"/>
        <item x="6"/>
        <item x="7"/>
        <item x="19"/>
        <item x="53"/>
        <item x="21"/>
        <item x="54"/>
        <item x="75"/>
        <item x="8"/>
        <item x="2"/>
        <item x="38"/>
        <item x="10"/>
        <item x="35"/>
        <item x="9"/>
        <item x="22"/>
        <item x="33"/>
        <item x="70"/>
        <item x="71"/>
        <item x="44"/>
        <item x="45"/>
        <item x="18"/>
        <item x="46"/>
        <item x="65"/>
        <item x="72"/>
        <item x="36"/>
        <item x="11"/>
        <item x="37"/>
        <item x="77"/>
        <item t="default"/>
      </items>
    </pivotField>
    <pivotField numFmtId="14" showAll="0"/>
    <pivotField showAll="0"/>
    <pivotField dataField="1" showAll="0"/>
    <pivotField showAll="0"/>
    <pivotField showAll="0"/>
    <pivotField numFmtId="164"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4"/>
  </rowFields>
  <rowItems count="5">
    <i>
      <x v="2"/>
    </i>
    <i>
      <x v="1"/>
    </i>
    <i>
      <x v="3"/>
    </i>
    <i>
      <x/>
    </i>
    <i t="grand">
      <x/>
    </i>
  </rowItems>
  <colItems count="1">
    <i/>
  </colItems>
  <dataFields count="1">
    <dataField name="Total Salary" fld="9" baseField="0" baseItem="0"/>
  </dataFields>
  <formats count="14">
    <format dxfId="736">
      <pivotArea grandRow="1" outline="0" collapsedLevelsAreSubtotals="1" fieldPosition="0"/>
    </format>
    <format dxfId="735">
      <pivotArea type="all" dataOnly="0" outline="0" fieldPosition="0"/>
    </format>
    <format dxfId="734">
      <pivotArea outline="0" collapsedLevelsAreSubtotals="1" fieldPosition="0"/>
    </format>
    <format dxfId="733">
      <pivotArea type="origin" dataOnly="0" labelOnly="1" outline="0" fieldPosition="0"/>
    </format>
    <format dxfId="732">
      <pivotArea field="5" type="button" dataOnly="0" labelOnly="1" outline="0"/>
    </format>
    <format dxfId="731">
      <pivotArea type="topRight" dataOnly="0" labelOnly="1" outline="0" fieldPosition="0"/>
    </format>
    <format dxfId="730">
      <pivotArea field="16" type="button" dataOnly="0" labelOnly="1" outline="0"/>
    </format>
    <format dxfId="729">
      <pivotArea dataOnly="0" labelOnly="1" grandRow="1" outline="0" fieldPosition="0"/>
    </format>
    <format dxfId="728">
      <pivotArea dataOnly="0" labelOnly="1" grandCol="1" outline="0" fieldPosition="0"/>
    </format>
    <format dxfId="727">
      <pivotArea dataOnly="0" labelOnly="1" grandCol="1" outline="0" fieldPosition="0"/>
    </format>
    <format dxfId="726">
      <pivotArea field="5" type="button" dataOnly="0" labelOnly="1" outline="0"/>
    </format>
    <format dxfId="725">
      <pivotArea field="5" type="button" dataOnly="0" labelOnly="1" outline="0"/>
    </format>
    <format dxfId="724">
      <pivotArea dataOnly="0" labelOnly="1" grandCol="1" outline="0" fieldPosition="0"/>
    </format>
    <format dxfId="723">
      <pivotArea collapsedLevelsAreSubtotals="1" fieldPosition="0">
        <references count="1">
          <reference field="14" count="0"/>
        </references>
      </pivotArea>
    </format>
  </formats>
  <conditionalFormats count="2">
    <conditionalFormat priority="11">
      <pivotAreas count="1">
        <pivotArea type="data" collapsedLevelsAreSubtotals="1" fieldPosition="0">
          <references count="2">
            <reference field="4294967294" count="1" selected="0">
              <x v="0"/>
            </reference>
            <reference field="14" count="4">
              <x v="0"/>
              <x v="1"/>
              <x v="2"/>
              <x v="3"/>
            </reference>
          </references>
        </pivotArea>
      </pivotAreas>
    </conditionalFormat>
    <conditionalFormat priority="12">
      <pivotAreas count="1">
        <pivotArea type="data" collapsedLevelsAreSubtotals="1" fieldPosition="0">
          <references count="2">
            <reference field="4294967294" count="1" selected="0">
              <x v="0"/>
            </reference>
            <reference field="14" count="4">
              <x v="0"/>
              <x v="1"/>
              <x v="2"/>
              <x v="3"/>
            </reference>
          </references>
        </pivotArea>
      </pivotAreas>
    </conditionalFormat>
  </conditional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4"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1" xr16:uid="{24846B76-9867-4960-8821-EC9FF4B44CCE}" autoFormatId="16" applyNumberFormats="0" applyBorderFormats="0" applyFontFormats="0" applyPatternFormats="0" applyAlignmentFormats="0" applyWidthHeightFormats="0">
  <queryTableRefresh nextId="18">
    <queryTableFields count="17">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 id="13" name="Age" tableColumnId="13"/>
      <queryTableField id="14" name="Total Years" tableColumnId="14"/>
      <queryTableField id="15" name="Age Group" tableColumnId="15"/>
      <queryTableField id="16" name="Growth %" tableColumnId="16"/>
      <queryTableField id="17" name="Performanc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تاريخ_التعيين" xr10:uid="{0515CC2C-A4F7-4789-8ACC-F1DC6B0AC4D8}" sourceName="Years (تاريخ التعيين)">
  <pivotTables>
    <pivotTable tabId="8" name="PivotTable2"/>
    <pivotTable tabId="8" name="PivotTable1"/>
    <pivotTable tabId="8" name="PivotTable3"/>
    <pivotTable tabId="8" name="PivotTable4"/>
    <pivotTable tabId="8" name="PivotTable5"/>
    <pivotTable tabId="8" name="PivotTable6"/>
    <pivotTable tabId="8" name="PivotTable7"/>
    <pivotTable tabId="8" name="PivotTable8"/>
    <pivotTable tabId="8" name="PivotTable9"/>
    <pivotTable tabId="8" name="PivotTable13"/>
  </pivotTables>
  <data>
    <tabular pivotCacheId="927345360">
      <items count="26">
        <i x="1" s="1"/>
        <i x="2" s="1"/>
        <i x="4" s="1"/>
        <i x="5" s="1"/>
        <i x="6" s="1"/>
        <i x="7" s="1"/>
        <i x="8" s="1"/>
        <i x="9" s="1"/>
        <i x="10" s="1"/>
        <i x="11" s="1"/>
        <i x="12" s="1"/>
        <i x="13" s="1"/>
        <i x="14" s="1"/>
        <i x="16" s="1"/>
        <i x="17" s="1"/>
        <i x="18" s="1"/>
        <i x="19" s="1"/>
        <i x="20" s="1"/>
        <i x="21" s="1"/>
        <i x="22" s="1"/>
        <i x="23" s="1"/>
        <i x="24" s="1"/>
        <i x="0" s="1" nd="1"/>
        <i x="25" s="1" nd="1"/>
        <i x="3" s="1" nd="1"/>
        <i x="1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وقع" xr10:uid="{62FF9C61-F6B9-4998-BA8F-EAEF8B05083C}" sourceName="الموقع">
  <pivotTables>
    <pivotTable tabId="8" name="PivotTable5"/>
    <pivotTable tabId="8" name="PivotTable1"/>
    <pivotTable tabId="8" name="PivotTable2"/>
    <pivotTable tabId="8" name="PivotTable3"/>
    <pivotTable tabId="8" name="PivotTable4"/>
    <pivotTable tabId="8" name="PivotTable6"/>
    <pivotTable tabId="8" name="PivotTable7"/>
    <pivotTable tabId="8" name="PivotTable8"/>
    <pivotTable tabId="8" name="PivotTable9"/>
    <pivotTable tabId="8" name="PivotTable13"/>
  </pivotTables>
  <data>
    <tabular pivotCacheId="92734536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سم" xr10:uid="{DF3F54A3-F58E-4949-AB7E-B97420FEF54C}" sourceName="القسم">
  <pivotTables>
    <pivotTable tabId="8" name="PivotTable5"/>
    <pivotTable tabId="8" name="PivotTable1"/>
    <pivotTable tabId="8" name="PivotTable2"/>
    <pivotTable tabId="8" name="PivotTable3"/>
    <pivotTable tabId="8" name="PivotTable4"/>
    <pivotTable tabId="8" name="PivotTable6"/>
    <pivotTable tabId="8" name="PivotTable7"/>
    <pivotTable tabId="8" name="PivotTable8"/>
    <pivotTable tabId="8" name="PivotTable9"/>
    <pivotTable tabId="8" name="PivotTable13"/>
  </pivotTables>
  <data>
    <tabular pivotCacheId="927345360">
      <items count="7">
        <i x="1" s="1"/>
        <i x="2" s="1"/>
        <i x="3" s="1"/>
        <i x="4" s="1"/>
        <i x="0" s="1"/>
        <i x="5" s="1" nd="1"/>
        <i x="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478F355B-2D43-4C0C-A4D2-5F456DA38635}" sourceName="Performance">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 tabId="8" name="PivotTable13"/>
  </pivotTables>
  <data>
    <tabular pivotCacheId="92734536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تاريخ التعيين)" xr10:uid="{4373F8B9-7141-43C6-87AD-2E4F64949C38}" cache="Slicer_Years__تاريخ_التعيين" caption="Years (تاريخ التعيين)" style="SlicerStyleLight5" rowHeight="257175"/>
  <slicer name="الموقع" xr10:uid="{4B5B934C-3640-4B63-A130-C17659168F8A}" cache="Slicer_الموقع" caption="الموقع" style="SlicerStyleLight5" rowHeight="257175"/>
  <slicer name="القسم" xr10:uid="{70635F4C-3EA9-489F-99D7-E0A6ABCCCC81}" cache="Slicer_القسم" caption="القسم" style="SlicerStyleLight5" rowHeight="257175"/>
  <slicer name="Performance" xr10:uid="{E748CB81-750C-4737-B829-1820D1E9B59E}" cache="Slicer_Performance" caption="Performance" columnCount="2" style="SlicerStyleLight5"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تاريخ التعيين) 1" xr10:uid="{7BCB40AA-F845-4BE5-98EE-54629F29AC34}" cache="Slicer_Years__تاريخ_التعيين" caption="Years (تاريخ التعيين)" style="SlicerStyleLight5" rowHeight="257175"/>
  <slicer name="الموقع 1" xr10:uid="{DE7DCE34-4C5B-4245-AEA5-4F869FD5B62B}" cache="Slicer_الموقع" caption="الموقع" style="SlicerStyleLight5" rowHeight="257175"/>
  <slicer name="القسم 1" xr10:uid="{80F615CB-1298-4CD0-A606-77698DE2F0E3}" cache="Slicer_القسم" caption="القسم" style="SlicerStyleLight5" rowHeight="257175"/>
  <slicer name="Performance 1" xr10:uid="{7DDF9E6E-2E72-4315-BEF5-FEAB5F827B74}" cache="Slicer_Performance" caption="Performance" columnCount="2" style="SlicerStyleLigh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F11D9F-84B0-46A9-BAED-381A8F3D775B}" name="All_Data" displayName="All_Data" ref="A1:Q95" tableType="queryTable" totalsRowShown="0">
  <autoFilter ref="A1:Q95" xr:uid="{C2F11D9F-84B0-46A9-BAED-381A8F3D775B}"/>
  <tableColumns count="17">
    <tableColumn id="1" xr3:uid="{902B18B1-A67B-487C-8E9D-444F7FD88515}" uniqueName="1" name="المسلسل" queryTableFieldId="1" dataDxfId="591"/>
    <tableColumn id="2" xr3:uid="{E2B9C35F-2012-47F9-A69A-C8C9A17AAF05}" uniqueName="2" name="الرقم الوظيفي" queryTableFieldId="2" dataDxfId="590"/>
    <tableColumn id="3" xr3:uid="{D75BF574-58A5-4F15-A198-D5CD3E112D46}" uniqueName="3" name="اسم الموظف" queryTableFieldId="3" dataDxfId="589"/>
    <tableColumn id="4" xr3:uid="{7BE338F1-2F70-4E61-944A-0A56928293DD}" uniqueName="4" name="الوظيفة" queryTableFieldId="4" dataDxfId="588"/>
    <tableColumn id="5" xr3:uid="{C99062DF-10B9-40BC-9C63-E1E4927D904F}" uniqueName="5" name="القسم" queryTableFieldId="5" dataDxfId="587"/>
    <tableColumn id="6" xr3:uid="{207B0D37-4CF7-4011-BDE4-8F9E579C59EF}" uniqueName="6" name="الموقع" queryTableFieldId="6" dataDxfId="586"/>
    <tableColumn id="7" xr3:uid="{A2207337-2FCF-47F0-BC1D-70BD2DF6D6EA}" uniqueName="7" name="تاريخ التعيين" queryTableFieldId="7" dataDxfId="2"/>
    <tableColumn id="8" xr3:uid="{C401555E-8940-4B52-821F-9D73FE36B96B}" uniqueName="8" name="تاريخ الميلاد" queryTableFieldId="8" dataDxfId="1"/>
    <tableColumn id="9" xr3:uid="{16110F3C-E106-43BF-AE0A-4873F603CD53}" uniqueName="9" name="المؤهل الدراسي" queryTableFieldId="9" dataDxfId="585"/>
    <tableColumn id="10" xr3:uid="{FDF5F38C-8BFF-438B-8DF3-0F3F14F8FEEF}" uniqueName="10" name="الراتب" queryTableFieldId="10"/>
    <tableColumn id="11" xr3:uid="{C525B26E-87DB-416A-96CE-1831B9756C35}" uniqueName="11" name="PER 2019" queryTableFieldId="11"/>
    <tableColumn id="12" xr3:uid="{B679AAC6-8922-48E8-AE02-F602E98020BB}" uniqueName="12" name="PER 2020" queryTableFieldId="12"/>
    <tableColumn id="13" xr3:uid="{945ECF2C-3202-4D2A-8FD8-0F1E7EE1428D}" uniqueName="13" name="Age" queryTableFieldId="13" dataDxfId="0"/>
    <tableColumn id="14" xr3:uid="{A7B477DA-311E-4875-820F-75664897E8D5}" uniqueName="14" name="Total Years" queryTableFieldId="14"/>
    <tableColumn id="15" xr3:uid="{6C1A879E-D529-4E3B-9F53-2ADB12631216}" uniqueName="15" name="Age Group" queryTableFieldId="15" dataDxfId="584"/>
    <tableColumn id="16" xr3:uid="{C817998E-1AB9-4213-A9D3-9CB6B817788A}" uniqueName="16" name="Growth %" queryTableFieldId="16"/>
    <tableColumn id="17" xr3:uid="{80B7D4A1-A916-43B8-8C6A-3DB84E55793B}" uniqueName="17" name="Performance" queryTableFieldId="17" dataDxfId="583"/>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98A30-7E3D-4A56-9C3C-738CB2B12D49}">
  <sheetPr>
    <tabColor theme="8" tint="-0.499984740745262"/>
  </sheetPr>
  <dimension ref="A3:K77"/>
  <sheetViews>
    <sheetView showGridLines="0" topLeftCell="A4" zoomScale="70" zoomScaleNormal="70" workbookViewId="0">
      <selection activeCell="D12" sqref="D12"/>
    </sheetView>
  </sheetViews>
  <sheetFormatPr defaultRowHeight="15" x14ac:dyDescent="0.25"/>
  <cols>
    <col min="1" max="1" width="19.7109375" bestFit="1" customWidth="1"/>
    <col min="2" max="2" width="30" bestFit="1" customWidth="1"/>
    <col min="3" max="3" width="26.7109375" bestFit="1" customWidth="1"/>
    <col min="4" max="4" width="38.5703125" bestFit="1" customWidth="1"/>
    <col min="5" max="5" width="30" bestFit="1" customWidth="1"/>
    <col min="6" max="6" width="19.42578125" bestFit="1" customWidth="1"/>
    <col min="7" max="7" width="22.85546875" bestFit="1" customWidth="1"/>
    <col min="8" max="8" width="20" bestFit="1" customWidth="1"/>
    <col min="9" max="9" width="28.28515625" bestFit="1" customWidth="1"/>
    <col min="10" max="11" width="15.28515625" bestFit="1" customWidth="1"/>
    <col min="12" max="12" width="16.85546875" bestFit="1" customWidth="1"/>
  </cols>
  <sheetData>
    <row r="3" spans="1:5" x14ac:dyDescent="0.25">
      <c r="B3" s="17"/>
      <c r="C3" s="17"/>
      <c r="D3" s="17"/>
      <c r="E3" s="17"/>
    </row>
    <row r="4" spans="1:5" x14ac:dyDescent="0.25">
      <c r="C4" s="17"/>
      <c r="D4" s="17"/>
      <c r="E4" s="17"/>
    </row>
    <row r="5" spans="1:5" x14ac:dyDescent="0.25">
      <c r="C5" s="5" t="s">
        <v>308</v>
      </c>
      <c r="D5" s="5" t="s">
        <v>313</v>
      </c>
      <c r="E5" s="5" t="s">
        <v>314</v>
      </c>
    </row>
    <row r="6" spans="1:5" x14ac:dyDescent="0.25">
      <c r="C6" s="15">
        <v>1248578</v>
      </c>
      <c r="D6" s="7">
        <v>13282.744680851063</v>
      </c>
      <c r="E6" s="20">
        <v>94</v>
      </c>
    </row>
    <row r="13" spans="1:5" x14ac:dyDescent="0.25">
      <c r="A13" s="19" t="s">
        <v>310</v>
      </c>
      <c r="B13" s="19"/>
      <c r="C13" s="19"/>
      <c r="D13" s="19"/>
      <c r="E13" s="19"/>
    </row>
    <row r="14" spans="1:5" x14ac:dyDescent="0.25">
      <c r="A14" s="4" t="s">
        <v>308</v>
      </c>
      <c r="B14" s="8" t="s">
        <v>309</v>
      </c>
      <c r="C14" s="5"/>
      <c r="D14" s="5"/>
      <c r="E14" s="5"/>
    </row>
    <row r="15" spans="1:5" x14ac:dyDescent="0.25">
      <c r="A15" s="4" t="s">
        <v>60</v>
      </c>
      <c r="B15" s="9" t="s">
        <v>23</v>
      </c>
      <c r="C15" s="9" t="s">
        <v>66</v>
      </c>
      <c r="D15" s="9" t="s">
        <v>20</v>
      </c>
      <c r="E15" s="9" t="s">
        <v>273</v>
      </c>
    </row>
    <row r="16" spans="1:5" x14ac:dyDescent="0.25">
      <c r="A16" s="6" t="s">
        <v>68</v>
      </c>
      <c r="B16" s="7">
        <v>468131</v>
      </c>
      <c r="C16" s="7">
        <v>275105</v>
      </c>
      <c r="D16" s="7">
        <v>134312</v>
      </c>
      <c r="E16" s="7">
        <v>877548</v>
      </c>
    </row>
    <row r="17" spans="1:8" x14ac:dyDescent="0.25">
      <c r="A17" s="6" t="s">
        <v>74</v>
      </c>
      <c r="B17" s="7">
        <v>110809</v>
      </c>
      <c r="C17" s="7">
        <v>204957</v>
      </c>
      <c r="D17" s="7">
        <v>55264</v>
      </c>
      <c r="E17" s="7">
        <v>371030</v>
      </c>
    </row>
    <row r="18" spans="1:8" x14ac:dyDescent="0.25">
      <c r="A18" s="6" t="s">
        <v>273</v>
      </c>
      <c r="B18" s="7">
        <v>578940</v>
      </c>
      <c r="C18" s="7">
        <v>480062</v>
      </c>
      <c r="D18" s="7">
        <v>189576</v>
      </c>
      <c r="E18" s="7">
        <v>1248578</v>
      </c>
    </row>
    <row r="21" spans="1:8" x14ac:dyDescent="0.25">
      <c r="A21" s="18" t="s">
        <v>315</v>
      </c>
      <c r="B21" s="18"/>
      <c r="C21" s="10"/>
      <c r="D21" s="18" t="s">
        <v>317</v>
      </c>
      <c r="E21" s="18"/>
    </row>
    <row r="22" spans="1:8" x14ac:dyDescent="0.25">
      <c r="A22" s="4" t="s">
        <v>58</v>
      </c>
      <c r="B22" s="9" t="s">
        <v>308</v>
      </c>
      <c r="D22" s="11" t="s">
        <v>4</v>
      </c>
      <c r="E22" s="9" t="s">
        <v>316</v>
      </c>
    </row>
    <row r="23" spans="1:8" x14ac:dyDescent="0.25">
      <c r="A23" s="6" t="s">
        <v>73</v>
      </c>
      <c r="B23" s="7">
        <v>554532</v>
      </c>
      <c r="D23" s="6" t="s">
        <v>14</v>
      </c>
      <c r="E23" s="20">
        <v>10</v>
      </c>
    </row>
    <row r="24" spans="1:8" x14ac:dyDescent="0.25">
      <c r="A24" s="6" t="s">
        <v>67</v>
      </c>
      <c r="B24" s="7">
        <v>478564</v>
      </c>
      <c r="D24" s="6" t="s">
        <v>30</v>
      </c>
      <c r="E24" s="20">
        <v>23</v>
      </c>
    </row>
    <row r="25" spans="1:8" x14ac:dyDescent="0.25">
      <c r="A25" s="6" t="s">
        <v>90</v>
      </c>
      <c r="B25" s="7">
        <v>187284</v>
      </c>
      <c r="D25" s="6" t="s">
        <v>50</v>
      </c>
      <c r="E25" s="20">
        <v>6</v>
      </c>
    </row>
    <row r="26" spans="1:8" x14ac:dyDescent="0.25">
      <c r="A26" s="6" t="s">
        <v>112</v>
      </c>
      <c r="B26" s="7">
        <v>28198</v>
      </c>
      <c r="D26" s="6" t="s">
        <v>234</v>
      </c>
      <c r="E26" s="20">
        <v>18</v>
      </c>
    </row>
    <row r="27" spans="1:8" x14ac:dyDescent="0.25">
      <c r="A27" s="6" t="s">
        <v>273</v>
      </c>
      <c r="B27" s="7">
        <v>1248578</v>
      </c>
      <c r="D27" s="6" t="s">
        <v>65</v>
      </c>
      <c r="E27" s="20">
        <v>37</v>
      </c>
    </row>
    <row r="28" spans="1:8" x14ac:dyDescent="0.25">
      <c r="D28" s="6" t="s">
        <v>273</v>
      </c>
      <c r="E28" s="20">
        <v>94</v>
      </c>
    </row>
    <row r="30" spans="1:8" x14ac:dyDescent="0.25">
      <c r="D30" s="12"/>
      <c r="E30" s="13"/>
      <c r="G30" s="14"/>
      <c r="H30" s="3"/>
    </row>
    <row r="31" spans="1:8" x14ac:dyDescent="0.25">
      <c r="A31" s="18" t="s">
        <v>320</v>
      </c>
      <c r="B31" s="18"/>
      <c r="C31" s="18"/>
      <c r="D31" s="18"/>
      <c r="E31" s="18"/>
      <c r="F31" s="18"/>
    </row>
    <row r="32" spans="1:8" x14ac:dyDescent="0.25">
      <c r="A32" s="4" t="s">
        <v>311</v>
      </c>
      <c r="B32" s="4" t="s">
        <v>58</v>
      </c>
      <c r="C32" s="5"/>
      <c r="D32" s="5"/>
      <c r="E32" s="5"/>
      <c r="F32" s="5"/>
    </row>
    <row r="33" spans="1:9" x14ac:dyDescent="0.25">
      <c r="A33" s="4" t="s">
        <v>6</v>
      </c>
      <c r="B33" s="5" t="s">
        <v>112</v>
      </c>
      <c r="C33" s="5" t="s">
        <v>67</v>
      </c>
      <c r="D33" s="5" t="s">
        <v>73</v>
      </c>
      <c r="E33" s="5" t="s">
        <v>90</v>
      </c>
      <c r="F33" s="9" t="s">
        <v>273</v>
      </c>
      <c r="H33" s="18" t="s">
        <v>318</v>
      </c>
      <c r="I33" s="18"/>
    </row>
    <row r="34" spans="1:9" x14ac:dyDescent="0.25">
      <c r="A34" s="6" t="s">
        <v>274</v>
      </c>
      <c r="B34" s="20"/>
      <c r="C34" s="20">
        <v>1</v>
      </c>
      <c r="D34" s="20"/>
      <c r="E34" s="20"/>
      <c r="F34" s="20">
        <v>1</v>
      </c>
      <c r="H34" s="4" t="s">
        <v>319</v>
      </c>
      <c r="I34" s="9" t="s">
        <v>312</v>
      </c>
    </row>
    <row r="35" spans="1:9" x14ac:dyDescent="0.25">
      <c r="A35" s="6" t="s">
        <v>275</v>
      </c>
      <c r="B35" s="20"/>
      <c r="C35" s="20">
        <v>2</v>
      </c>
      <c r="D35" s="20"/>
      <c r="E35" s="20"/>
      <c r="F35" s="20">
        <v>2</v>
      </c>
      <c r="H35" s="6" t="s">
        <v>64</v>
      </c>
      <c r="I35" s="15">
        <v>35000</v>
      </c>
    </row>
    <row r="36" spans="1:9" x14ac:dyDescent="0.25">
      <c r="A36" s="6" t="s">
        <v>276</v>
      </c>
      <c r="B36" s="20"/>
      <c r="C36" s="20">
        <v>1</v>
      </c>
      <c r="D36" s="20">
        <v>1</v>
      </c>
      <c r="E36" s="20">
        <v>1</v>
      </c>
      <c r="F36" s="20">
        <v>3</v>
      </c>
      <c r="H36" s="6" t="s">
        <v>13</v>
      </c>
      <c r="I36" s="15">
        <v>26520</v>
      </c>
    </row>
    <row r="37" spans="1:9" x14ac:dyDescent="0.25">
      <c r="A37" s="6" t="s">
        <v>277</v>
      </c>
      <c r="B37" s="20"/>
      <c r="C37" s="20"/>
      <c r="D37" s="20"/>
      <c r="E37" s="20">
        <v>1</v>
      </c>
      <c r="F37" s="20">
        <v>1</v>
      </c>
      <c r="H37" s="6" t="s">
        <v>49</v>
      </c>
      <c r="I37" s="15">
        <v>25000</v>
      </c>
    </row>
    <row r="38" spans="1:9" x14ac:dyDescent="0.25">
      <c r="A38" s="6" t="s">
        <v>278</v>
      </c>
      <c r="B38" s="20"/>
      <c r="C38" s="20">
        <v>2</v>
      </c>
      <c r="D38" s="20"/>
      <c r="E38" s="20"/>
      <c r="F38" s="20">
        <v>2</v>
      </c>
      <c r="H38" s="6" t="s">
        <v>233</v>
      </c>
      <c r="I38" s="15">
        <v>21575</v>
      </c>
    </row>
    <row r="39" spans="1:9" x14ac:dyDescent="0.25">
      <c r="A39" s="6" t="s">
        <v>279</v>
      </c>
      <c r="B39" s="20"/>
      <c r="C39" s="20">
        <v>1</v>
      </c>
      <c r="D39" s="20">
        <v>1</v>
      </c>
      <c r="E39" s="20">
        <v>2</v>
      </c>
      <c r="F39" s="20">
        <v>4</v>
      </c>
      <c r="H39" s="6" t="s">
        <v>29</v>
      </c>
      <c r="I39" s="15">
        <v>20500</v>
      </c>
    </row>
    <row r="40" spans="1:9" x14ac:dyDescent="0.25">
      <c r="A40" s="6" t="s">
        <v>280</v>
      </c>
      <c r="B40" s="20"/>
      <c r="C40" s="20">
        <v>1</v>
      </c>
      <c r="D40" s="20">
        <v>1</v>
      </c>
      <c r="E40" s="20"/>
      <c r="F40" s="20">
        <v>2</v>
      </c>
      <c r="H40" s="6" t="s">
        <v>240</v>
      </c>
      <c r="I40" s="15">
        <v>14649.083333333334</v>
      </c>
    </row>
    <row r="41" spans="1:9" x14ac:dyDescent="0.25">
      <c r="A41" s="6" t="s">
        <v>281</v>
      </c>
      <c r="B41" s="20"/>
      <c r="C41" s="20">
        <v>1</v>
      </c>
      <c r="D41" s="20">
        <v>3</v>
      </c>
      <c r="E41" s="20">
        <v>1</v>
      </c>
      <c r="F41" s="20">
        <v>5</v>
      </c>
      <c r="H41" s="6" t="s">
        <v>237</v>
      </c>
      <c r="I41" s="15">
        <v>13543.6</v>
      </c>
    </row>
    <row r="42" spans="1:9" x14ac:dyDescent="0.25">
      <c r="A42" s="6" t="s">
        <v>282</v>
      </c>
      <c r="B42" s="20">
        <v>1</v>
      </c>
      <c r="C42" s="20"/>
      <c r="D42" s="20"/>
      <c r="E42" s="20"/>
      <c r="F42" s="20">
        <v>1</v>
      </c>
      <c r="H42" s="6" t="s">
        <v>71</v>
      </c>
      <c r="I42" s="15">
        <v>13199.166666666666</v>
      </c>
    </row>
    <row r="43" spans="1:9" x14ac:dyDescent="0.25">
      <c r="A43" s="6" t="s">
        <v>295</v>
      </c>
      <c r="B43" s="20"/>
      <c r="C43" s="20"/>
      <c r="D43" s="20">
        <v>1</v>
      </c>
      <c r="E43" s="20">
        <v>1</v>
      </c>
      <c r="F43" s="20">
        <v>2</v>
      </c>
      <c r="H43" s="6" t="s">
        <v>17</v>
      </c>
      <c r="I43" s="15">
        <v>12583</v>
      </c>
    </row>
    <row r="44" spans="1:9" x14ac:dyDescent="0.25">
      <c r="A44" s="6" t="s">
        <v>283</v>
      </c>
      <c r="B44" s="20"/>
      <c r="C44" s="20">
        <v>2</v>
      </c>
      <c r="D44" s="20">
        <v>1</v>
      </c>
      <c r="E44" s="20"/>
      <c r="F44" s="20">
        <v>3</v>
      </c>
      <c r="H44" s="6" t="s">
        <v>36</v>
      </c>
      <c r="I44" s="15">
        <v>12176.666666666666</v>
      </c>
    </row>
    <row r="45" spans="1:9" x14ac:dyDescent="0.25">
      <c r="A45" s="6" t="s">
        <v>284</v>
      </c>
      <c r="B45" s="20"/>
      <c r="C45" s="20"/>
      <c r="D45" s="20">
        <v>3</v>
      </c>
      <c r="E45" s="20"/>
      <c r="F45" s="20">
        <v>3</v>
      </c>
      <c r="H45" s="6" t="s">
        <v>34</v>
      </c>
      <c r="I45" s="15">
        <v>10799.5</v>
      </c>
    </row>
    <row r="46" spans="1:9" x14ac:dyDescent="0.25">
      <c r="A46" s="6" t="s">
        <v>285</v>
      </c>
      <c r="B46" s="20"/>
      <c r="C46" s="20">
        <v>3</v>
      </c>
      <c r="D46" s="20">
        <v>4</v>
      </c>
      <c r="E46" s="20"/>
      <c r="F46" s="20">
        <v>7</v>
      </c>
      <c r="H46" s="6" t="s">
        <v>32</v>
      </c>
      <c r="I46" s="15">
        <v>10570</v>
      </c>
    </row>
    <row r="47" spans="1:9" x14ac:dyDescent="0.25">
      <c r="A47" s="6" t="s">
        <v>286</v>
      </c>
      <c r="B47" s="20"/>
      <c r="C47" s="20"/>
      <c r="D47" s="20">
        <v>2</v>
      </c>
      <c r="E47" s="20">
        <v>1</v>
      </c>
      <c r="F47" s="20">
        <v>3</v>
      </c>
      <c r="H47" s="6" t="s">
        <v>52</v>
      </c>
      <c r="I47" s="15">
        <v>8716.7999999999993</v>
      </c>
    </row>
    <row r="48" spans="1:9" x14ac:dyDescent="0.25">
      <c r="A48" s="6" t="s">
        <v>287</v>
      </c>
      <c r="B48" s="20"/>
      <c r="C48" s="20">
        <v>3</v>
      </c>
      <c r="D48" s="20">
        <v>1</v>
      </c>
      <c r="E48" s="20"/>
      <c r="F48" s="20">
        <v>4</v>
      </c>
      <c r="H48" s="6" t="s">
        <v>273</v>
      </c>
      <c r="I48" s="7">
        <v>13282.744680851063</v>
      </c>
    </row>
    <row r="49" spans="1:11" x14ac:dyDescent="0.25">
      <c r="A49" s="6" t="s">
        <v>288</v>
      </c>
      <c r="B49" s="20"/>
      <c r="C49" s="20">
        <v>1</v>
      </c>
      <c r="D49" s="20">
        <v>1</v>
      </c>
      <c r="E49" s="20">
        <v>1</v>
      </c>
      <c r="F49" s="20">
        <v>3</v>
      </c>
    </row>
    <row r="50" spans="1:11" x14ac:dyDescent="0.25">
      <c r="A50" s="6" t="s">
        <v>289</v>
      </c>
      <c r="B50" s="20"/>
      <c r="C50" s="20">
        <v>2</v>
      </c>
      <c r="D50" s="20">
        <v>4</v>
      </c>
      <c r="E50" s="20"/>
      <c r="F50" s="20">
        <v>6</v>
      </c>
      <c r="H50" s="18" t="s">
        <v>323</v>
      </c>
      <c r="I50" s="18"/>
      <c r="J50" s="18"/>
      <c r="K50" s="18"/>
    </row>
    <row r="51" spans="1:11" x14ac:dyDescent="0.25">
      <c r="A51" s="6" t="s">
        <v>290</v>
      </c>
      <c r="B51" s="20"/>
      <c r="C51" s="20">
        <v>3</v>
      </c>
      <c r="D51" s="20">
        <v>7</v>
      </c>
      <c r="E51" s="20">
        <v>1</v>
      </c>
      <c r="F51" s="20">
        <v>11</v>
      </c>
      <c r="H51" s="4" t="s">
        <v>322</v>
      </c>
      <c r="I51" s="4" t="s">
        <v>60</v>
      </c>
      <c r="J51" s="5"/>
      <c r="K51" s="5"/>
    </row>
    <row r="52" spans="1:11" x14ac:dyDescent="0.25">
      <c r="A52" s="6" t="s">
        <v>291</v>
      </c>
      <c r="B52" s="20"/>
      <c r="C52" s="20">
        <v>2</v>
      </c>
      <c r="D52" s="20">
        <v>3</v>
      </c>
      <c r="E52" s="20">
        <v>1</v>
      </c>
      <c r="F52" s="20">
        <v>6</v>
      </c>
      <c r="H52" s="4" t="s">
        <v>321</v>
      </c>
      <c r="I52" s="5" t="s">
        <v>68</v>
      </c>
      <c r="J52" s="5" t="s">
        <v>74</v>
      </c>
      <c r="K52" s="9" t="s">
        <v>273</v>
      </c>
    </row>
    <row r="53" spans="1:11" x14ac:dyDescent="0.25">
      <c r="A53" s="6" t="s">
        <v>292</v>
      </c>
      <c r="B53" s="20">
        <v>1</v>
      </c>
      <c r="C53" s="20">
        <v>7</v>
      </c>
      <c r="D53" s="20">
        <v>7</v>
      </c>
      <c r="E53" s="20">
        <v>2</v>
      </c>
      <c r="F53" s="20">
        <v>17</v>
      </c>
      <c r="H53" s="6" t="s">
        <v>296</v>
      </c>
      <c r="I53" s="20">
        <v>7</v>
      </c>
      <c r="J53" s="20">
        <v>3</v>
      </c>
      <c r="K53" s="20">
        <v>10</v>
      </c>
    </row>
    <row r="54" spans="1:11" x14ac:dyDescent="0.25">
      <c r="A54" s="6" t="s">
        <v>293</v>
      </c>
      <c r="B54" s="20"/>
      <c r="C54" s="20">
        <v>1</v>
      </c>
      <c r="D54" s="20"/>
      <c r="E54" s="20">
        <v>1</v>
      </c>
      <c r="F54" s="20">
        <v>2</v>
      </c>
      <c r="H54" s="6" t="s">
        <v>297</v>
      </c>
      <c r="I54" s="20">
        <v>4</v>
      </c>
      <c r="J54" s="20">
        <v>6</v>
      </c>
      <c r="K54" s="20">
        <v>10</v>
      </c>
    </row>
    <row r="55" spans="1:11" x14ac:dyDescent="0.25">
      <c r="A55" s="6" t="s">
        <v>294</v>
      </c>
      <c r="B55" s="20"/>
      <c r="C55" s="20">
        <v>2</v>
      </c>
      <c r="D55" s="20">
        <v>3</v>
      </c>
      <c r="E55" s="20">
        <v>1</v>
      </c>
      <c r="F55" s="20">
        <v>6</v>
      </c>
      <c r="H55" s="6" t="s">
        <v>298</v>
      </c>
      <c r="I55" s="20">
        <v>3</v>
      </c>
      <c r="J55" s="20">
        <v>1</v>
      </c>
      <c r="K55" s="20">
        <v>4</v>
      </c>
    </row>
    <row r="56" spans="1:11" x14ac:dyDescent="0.25">
      <c r="A56" s="6" t="s">
        <v>273</v>
      </c>
      <c r="B56" s="20">
        <v>2</v>
      </c>
      <c r="C56" s="20">
        <v>35</v>
      </c>
      <c r="D56" s="20">
        <v>43</v>
      </c>
      <c r="E56" s="20">
        <v>14</v>
      </c>
      <c r="F56" s="20">
        <v>94</v>
      </c>
      <c r="H56" s="6" t="s">
        <v>299</v>
      </c>
      <c r="I56" s="20">
        <v>9</v>
      </c>
      <c r="J56" s="20">
        <v>6</v>
      </c>
      <c r="K56" s="20">
        <v>15</v>
      </c>
    </row>
    <row r="57" spans="1:11" x14ac:dyDescent="0.25">
      <c r="H57" s="6" t="s">
        <v>300</v>
      </c>
      <c r="I57" s="20">
        <v>10</v>
      </c>
      <c r="J57" s="20"/>
      <c r="K57" s="20">
        <v>10</v>
      </c>
    </row>
    <row r="58" spans="1:11" x14ac:dyDescent="0.25">
      <c r="H58" s="6" t="s">
        <v>301</v>
      </c>
      <c r="I58" s="20">
        <v>4</v>
      </c>
      <c r="J58" s="20"/>
      <c r="K58" s="20">
        <v>4</v>
      </c>
    </row>
    <row r="59" spans="1:11" x14ac:dyDescent="0.25">
      <c r="A59" s="18" t="s">
        <v>324</v>
      </c>
      <c r="B59" s="18"/>
      <c r="D59" s="18" t="s">
        <v>326</v>
      </c>
      <c r="E59" s="18"/>
      <c r="H59" s="6" t="s">
        <v>302</v>
      </c>
      <c r="I59" s="20">
        <v>5</v>
      </c>
      <c r="J59" s="20">
        <v>2</v>
      </c>
      <c r="K59" s="20">
        <v>7</v>
      </c>
    </row>
    <row r="60" spans="1:11" x14ac:dyDescent="0.25">
      <c r="A60" s="4" t="s">
        <v>8</v>
      </c>
      <c r="B60" s="9" t="s">
        <v>316</v>
      </c>
      <c r="D60" s="4" t="s">
        <v>319</v>
      </c>
      <c r="E60" s="9" t="s">
        <v>325</v>
      </c>
      <c r="H60" s="6" t="s">
        <v>303</v>
      </c>
      <c r="I60" s="20">
        <v>9</v>
      </c>
      <c r="J60" s="20">
        <v>5</v>
      </c>
      <c r="K60" s="20">
        <v>14</v>
      </c>
    </row>
    <row r="61" spans="1:11" x14ac:dyDescent="0.25">
      <c r="A61" s="6" t="s">
        <v>18</v>
      </c>
      <c r="B61" s="20">
        <v>55</v>
      </c>
      <c r="D61" s="6" t="s">
        <v>71</v>
      </c>
      <c r="E61" s="20">
        <v>36</v>
      </c>
      <c r="H61" s="6" t="s">
        <v>304</v>
      </c>
      <c r="I61" s="20">
        <v>2</v>
      </c>
      <c r="J61" s="20"/>
      <c r="K61" s="20">
        <v>2</v>
      </c>
    </row>
    <row r="62" spans="1:11" x14ac:dyDescent="0.25">
      <c r="A62" s="6" t="s">
        <v>72</v>
      </c>
      <c r="B62" s="20">
        <v>36</v>
      </c>
      <c r="D62" s="6" t="s">
        <v>240</v>
      </c>
      <c r="E62" s="20">
        <v>12</v>
      </c>
      <c r="H62" s="6" t="s">
        <v>305</v>
      </c>
      <c r="I62" s="20">
        <v>4</v>
      </c>
      <c r="J62" s="20"/>
      <c r="K62" s="20">
        <v>4</v>
      </c>
    </row>
    <row r="63" spans="1:11" x14ac:dyDescent="0.25">
      <c r="A63" s="6" t="s">
        <v>15</v>
      </c>
      <c r="B63" s="20">
        <v>3</v>
      </c>
      <c r="D63" s="6" t="s">
        <v>34</v>
      </c>
      <c r="E63" s="20">
        <v>10</v>
      </c>
      <c r="H63" s="6" t="s">
        <v>306</v>
      </c>
      <c r="I63" s="20">
        <v>7</v>
      </c>
      <c r="J63" s="20">
        <v>2</v>
      </c>
      <c r="K63" s="20">
        <v>9</v>
      </c>
    </row>
    <row r="64" spans="1:11" x14ac:dyDescent="0.25">
      <c r="A64" s="6" t="s">
        <v>273</v>
      </c>
      <c r="B64" s="20">
        <v>94</v>
      </c>
      <c r="D64" s="6" t="s">
        <v>17</v>
      </c>
      <c r="E64" s="20">
        <v>9</v>
      </c>
      <c r="H64" s="6" t="s">
        <v>307</v>
      </c>
      <c r="I64" s="20">
        <v>3</v>
      </c>
      <c r="J64" s="20">
        <v>2</v>
      </c>
      <c r="K64" s="20">
        <v>5</v>
      </c>
    </row>
    <row r="65" spans="1:11" x14ac:dyDescent="0.25">
      <c r="D65" s="6" t="s">
        <v>36</v>
      </c>
      <c r="E65" s="20">
        <v>6</v>
      </c>
      <c r="H65" s="6" t="s">
        <v>273</v>
      </c>
      <c r="I65" s="20">
        <v>67</v>
      </c>
      <c r="J65" s="20">
        <v>27</v>
      </c>
      <c r="K65" s="20">
        <v>94</v>
      </c>
    </row>
    <row r="66" spans="1:11" x14ac:dyDescent="0.25">
      <c r="A66" s="18" t="s">
        <v>328</v>
      </c>
      <c r="B66" s="18"/>
      <c r="D66" s="6" t="s">
        <v>32</v>
      </c>
      <c r="E66" s="20">
        <v>6</v>
      </c>
    </row>
    <row r="67" spans="1:11" x14ac:dyDescent="0.25">
      <c r="A67" s="4" t="s">
        <v>60</v>
      </c>
      <c r="B67" s="9" t="s">
        <v>327</v>
      </c>
      <c r="D67" s="6" t="s">
        <v>52</v>
      </c>
      <c r="E67" s="20">
        <v>5</v>
      </c>
    </row>
    <row r="68" spans="1:11" x14ac:dyDescent="0.25">
      <c r="A68" s="6" t="s">
        <v>68</v>
      </c>
      <c r="B68" s="20">
        <v>67</v>
      </c>
      <c r="D68" s="6" t="s">
        <v>237</v>
      </c>
      <c r="E68" s="20">
        <v>5</v>
      </c>
    </row>
    <row r="69" spans="1:11" x14ac:dyDescent="0.25">
      <c r="A69" s="6" t="s">
        <v>74</v>
      </c>
      <c r="B69" s="20">
        <v>27</v>
      </c>
      <c r="D69" s="6" t="s">
        <v>233</v>
      </c>
      <c r="E69" s="20">
        <v>1</v>
      </c>
    </row>
    <row r="70" spans="1:11" x14ac:dyDescent="0.25">
      <c r="A70" s="6" t="s">
        <v>273</v>
      </c>
      <c r="B70" s="20">
        <v>94</v>
      </c>
      <c r="D70" s="6" t="s">
        <v>64</v>
      </c>
      <c r="E70" s="20">
        <v>1</v>
      </c>
    </row>
    <row r="71" spans="1:11" x14ac:dyDescent="0.25">
      <c r="D71" s="6" t="s">
        <v>13</v>
      </c>
      <c r="E71" s="20">
        <v>1</v>
      </c>
    </row>
    <row r="72" spans="1:11" x14ac:dyDescent="0.25">
      <c r="D72" s="6" t="s">
        <v>29</v>
      </c>
      <c r="E72" s="20">
        <v>1</v>
      </c>
    </row>
    <row r="73" spans="1:11" x14ac:dyDescent="0.25">
      <c r="D73" s="6" t="s">
        <v>49</v>
      </c>
      <c r="E73" s="20">
        <v>1</v>
      </c>
    </row>
    <row r="74" spans="1:11" x14ac:dyDescent="0.25">
      <c r="D74" s="6" t="s">
        <v>273</v>
      </c>
      <c r="E74" s="20">
        <v>94</v>
      </c>
    </row>
    <row r="76" spans="1:11" x14ac:dyDescent="0.25">
      <c r="C76" t="str">
        <f t="shared" ref="C76:E77" si="0">C5</f>
        <v>Total Salary</v>
      </c>
      <c r="D76" t="str">
        <f t="shared" si="0"/>
        <v>Average Salary</v>
      </c>
      <c r="E76" t="str">
        <f t="shared" si="0"/>
        <v>#Employees</v>
      </c>
    </row>
    <row r="77" spans="1:11" x14ac:dyDescent="0.25">
      <c r="C77" s="16">
        <f t="shared" si="0"/>
        <v>1248578</v>
      </c>
      <c r="D77" s="3">
        <f t="shared" si="0"/>
        <v>13282.744680851063</v>
      </c>
      <c r="E77">
        <f t="shared" si="0"/>
        <v>94</v>
      </c>
    </row>
  </sheetData>
  <mergeCells count="9">
    <mergeCell ref="H50:K50"/>
    <mergeCell ref="A59:B59"/>
    <mergeCell ref="D59:E59"/>
    <mergeCell ref="A66:B66"/>
    <mergeCell ref="A13:E13"/>
    <mergeCell ref="A21:B21"/>
    <mergeCell ref="D21:E21"/>
    <mergeCell ref="H33:I33"/>
    <mergeCell ref="A31:F31"/>
  </mergeCells>
  <conditionalFormatting pivot="1" sqref="B68:B69">
    <cfRule type="iconSet" priority="14">
      <iconSet iconSet="3Arrows">
        <cfvo type="percent" val="0"/>
        <cfvo type="percent" val="33"/>
        <cfvo type="percent" val="67"/>
      </iconSet>
    </cfRule>
  </conditionalFormatting>
  <conditionalFormatting pivot="1" sqref="B23:B26">
    <cfRule type="dataBar" priority="12">
      <dataBar>
        <cfvo type="min"/>
        <cfvo type="max"/>
        <color theme="8" tint="0.79998168889431442"/>
      </dataBar>
      <extLst>
        <ext xmlns:x14="http://schemas.microsoft.com/office/spreadsheetml/2009/9/main" uri="{B025F937-C7B1-47D3-B67F-A62EFF666E3E}">
          <x14:id>{77B66C19-9707-4701-B09D-FB91115F1F85}</x14:id>
        </ext>
      </extLst>
    </cfRule>
  </conditionalFormatting>
  <conditionalFormatting pivot="1" sqref="B23:B26">
    <cfRule type="dataBar" priority="11">
      <dataBar>
        <cfvo type="min"/>
        <cfvo type="max"/>
        <color theme="8" tint="0.59999389629810485"/>
      </dataBar>
      <extLst>
        <ext xmlns:x14="http://schemas.microsoft.com/office/spreadsheetml/2009/9/main" uri="{B025F937-C7B1-47D3-B67F-A62EFF666E3E}">
          <x14:id>{7FDADD04-C101-4305-81C6-09572409B16E}</x14:id>
        </ext>
      </extLst>
    </cfRule>
  </conditionalFormatting>
  <conditionalFormatting pivot="1" sqref="B61:B63">
    <cfRule type="dataBar" priority="10">
      <dataBar>
        <cfvo type="min"/>
        <cfvo type="max"/>
        <color theme="8" tint="0.79998168889431442"/>
      </dataBar>
      <extLst>
        <ext xmlns:x14="http://schemas.microsoft.com/office/spreadsheetml/2009/9/main" uri="{B025F937-C7B1-47D3-B67F-A62EFF666E3E}">
          <x14:id>{00FD64F0-CE40-481C-85C4-59B9B2BE99E8}</x14:id>
        </ext>
      </extLst>
    </cfRule>
  </conditionalFormatting>
  <conditionalFormatting pivot="1" sqref="B61:B63">
    <cfRule type="dataBar" priority="9">
      <dataBar>
        <cfvo type="min"/>
        <cfvo type="max"/>
        <color theme="8" tint="0.59999389629810485"/>
      </dataBar>
      <extLst>
        <ext xmlns:x14="http://schemas.microsoft.com/office/spreadsheetml/2009/9/main" uri="{B025F937-C7B1-47D3-B67F-A62EFF666E3E}">
          <x14:id>{89708229-44DE-4F60-B998-F174933C4B8C}</x14:id>
        </ext>
      </extLst>
    </cfRule>
  </conditionalFormatting>
  <conditionalFormatting pivot="1" sqref="E61:E73">
    <cfRule type="dataBar" priority="8">
      <dataBar>
        <cfvo type="min"/>
        <cfvo type="max"/>
        <color theme="8" tint="0.79998168889431442"/>
      </dataBar>
      <extLst>
        <ext xmlns:x14="http://schemas.microsoft.com/office/spreadsheetml/2009/9/main" uri="{B025F937-C7B1-47D3-B67F-A62EFF666E3E}">
          <x14:id>{E456137C-3463-4DBD-9D4E-159B3C041B5D}</x14:id>
        </ext>
      </extLst>
    </cfRule>
  </conditionalFormatting>
  <conditionalFormatting pivot="1" sqref="E61:E73">
    <cfRule type="dataBar" priority="7">
      <dataBar>
        <cfvo type="min"/>
        <cfvo type="max"/>
        <color theme="8" tint="0.59999389629810485"/>
      </dataBar>
      <extLst>
        <ext xmlns:x14="http://schemas.microsoft.com/office/spreadsheetml/2009/9/main" uri="{B025F937-C7B1-47D3-B67F-A62EFF666E3E}">
          <x14:id>{98CB69E7-D0C6-47C7-841C-75669B16E78C}</x14:id>
        </ext>
      </extLst>
    </cfRule>
  </conditionalFormatting>
  <conditionalFormatting pivot="1" sqref="I35:I47">
    <cfRule type="dataBar" priority="6">
      <dataBar>
        <cfvo type="min"/>
        <cfvo type="max"/>
        <color theme="8" tint="0.79998168889431442"/>
      </dataBar>
      <extLst>
        <ext xmlns:x14="http://schemas.microsoft.com/office/spreadsheetml/2009/9/main" uri="{B025F937-C7B1-47D3-B67F-A62EFF666E3E}">
          <x14:id>{A594CC4A-3587-44EF-B057-1FECBB7185AF}</x14:id>
        </ext>
      </extLst>
    </cfRule>
  </conditionalFormatting>
  <conditionalFormatting pivot="1" sqref="I35:I47">
    <cfRule type="dataBar" priority="5">
      <dataBar>
        <cfvo type="min"/>
        <cfvo type="max"/>
        <color theme="8" tint="0.59999389629810485"/>
      </dataBar>
      <extLst>
        <ext xmlns:x14="http://schemas.microsoft.com/office/spreadsheetml/2009/9/main" uri="{B025F937-C7B1-47D3-B67F-A62EFF666E3E}">
          <x14:id>{7149E32A-4F9E-4712-934E-7832796A1988}</x14:id>
        </ext>
      </extLst>
    </cfRule>
  </conditionalFormatting>
  <conditionalFormatting pivot="1" sqref="E23:E27">
    <cfRule type="dataBar" priority="4">
      <dataBar>
        <cfvo type="min"/>
        <cfvo type="max"/>
        <color theme="8" tint="0.79998168889431442"/>
      </dataBar>
      <extLst>
        <ext xmlns:x14="http://schemas.microsoft.com/office/spreadsheetml/2009/9/main" uri="{B025F937-C7B1-47D3-B67F-A62EFF666E3E}">
          <x14:id>{EC029755-1624-49DA-998E-9584E2DE6B68}</x14:id>
        </ext>
      </extLst>
    </cfRule>
  </conditionalFormatting>
  <conditionalFormatting pivot="1" sqref="E23:E27">
    <cfRule type="dataBar" priority="3">
      <dataBar>
        <cfvo type="min"/>
        <cfvo type="max"/>
        <color theme="8" tint="0.59999389629810485"/>
      </dataBar>
      <extLst>
        <ext xmlns:x14="http://schemas.microsoft.com/office/spreadsheetml/2009/9/main" uri="{B025F937-C7B1-47D3-B67F-A62EFF666E3E}">
          <x14:id>{C997ED70-813B-42DD-A822-FF828FF86E24}</x14:id>
        </ext>
      </extLst>
    </cfRule>
  </conditionalFormatting>
  <conditionalFormatting pivot="1" sqref="B34:E55">
    <cfRule type="iconSet" priority="2">
      <iconSet iconSet="4Arrows">
        <cfvo type="percent" val="0"/>
        <cfvo type="percent" val="25"/>
        <cfvo type="percent" val="50"/>
        <cfvo type="percent" val="75"/>
      </iconSet>
    </cfRule>
  </conditionalFormatting>
  <conditionalFormatting pivot="1" sqref="B16:D17">
    <cfRule type="iconSet" priority="1">
      <iconSet iconSet="3Arrows">
        <cfvo type="percent" val="0"/>
        <cfvo type="percent" val="33"/>
        <cfvo type="percent" val="67"/>
      </iconSet>
    </cfRule>
  </conditionalFormatting>
  <pageMargins left="0.7" right="0.7" top="0.75" bottom="0.75" header="0.3" footer="0.3"/>
  <drawing r:id="rId11"/>
  <extLst>
    <ext xmlns:x14="http://schemas.microsoft.com/office/spreadsheetml/2009/9/main" uri="{78C0D931-6437-407d-A8EE-F0AAD7539E65}">
      <x14:conditionalFormattings>
        <x14:conditionalFormatting xmlns:xm="http://schemas.microsoft.com/office/excel/2006/main" pivot="1">
          <x14:cfRule type="dataBar" id="{77B66C19-9707-4701-B09D-FB91115F1F85}">
            <x14:dataBar minLength="0" maxLength="100" border="1" gradient="0">
              <x14:cfvo type="autoMin"/>
              <x14:cfvo type="autoMax"/>
              <x14:borderColor rgb="FF000000"/>
              <x14:negativeFillColor rgb="FFFF0000"/>
              <x14:axisColor rgb="FF000000"/>
            </x14:dataBar>
          </x14:cfRule>
          <xm:sqref>B23:B26</xm:sqref>
        </x14:conditionalFormatting>
        <x14:conditionalFormatting xmlns:xm="http://schemas.microsoft.com/office/excel/2006/main" pivot="1">
          <x14:cfRule type="dataBar" id="{7FDADD04-C101-4305-81C6-09572409B16E}">
            <x14:dataBar minLength="0" maxLength="100" border="1" gradient="0">
              <x14:cfvo type="autoMin"/>
              <x14:cfvo type="autoMax"/>
              <x14:borderColor rgb="FF000000"/>
              <x14:negativeFillColor rgb="FFFF0000"/>
              <x14:axisColor rgb="FF000000"/>
            </x14:dataBar>
          </x14:cfRule>
          <xm:sqref>B23:B26</xm:sqref>
        </x14:conditionalFormatting>
        <x14:conditionalFormatting xmlns:xm="http://schemas.microsoft.com/office/excel/2006/main" pivot="1">
          <x14:cfRule type="dataBar" id="{00FD64F0-CE40-481C-85C4-59B9B2BE99E8}">
            <x14:dataBar minLength="0" maxLength="100" border="1" gradient="0">
              <x14:cfvo type="autoMin"/>
              <x14:cfvo type="autoMax"/>
              <x14:borderColor rgb="FF000000"/>
              <x14:negativeFillColor rgb="FFFF0000"/>
              <x14:axisColor rgb="FF000000"/>
            </x14:dataBar>
          </x14:cfRule>
          <xm:sqref>B61:B63</xm:sqref>
        </x14:conditionalFormatting>
        <x14:conditionalFormatting xmlns:xm="http://schemas.microsoft.com/office/excel/2006/main" pivot="1">
          <x14:cfRule type="dataBar" id="{89708229-44DE-4F60-B998-F174933C4B8C}">
            <x14:dataBar minLength="0" maxLength="100" border="1" gradient="0">
              <x14:cfvo type="autoMin"/>
              <x14:cfvo type="autoMax"/>
              <x14:borderColor rgb="FF000000"/>
              <x14:negativeFillColor rgb="FFFF0000"/>
              <x14:axisColor rgb="FF000000"/>
            </x14:dataBar>
          </x14:cfRule>
          <xm:sqref>B61:B63</xm:sqref>
        </x14:conditionalFormatting>
        <x14:conditionalFormatting xmlns:xm="http://schemas.microsoft.com/office/excel/2006/main" pivot="1">
          <x14:cfRule type="dataBar" id="{E456137C-3463-4DBD-9D4E-159B3C041B5D}">
            <x14:dataBar minLength="0" maxLength="100" border="1" gradient="0">
              <x14:cfvo type="autoMin"/>
              <x14:cfvo type="autoMax"/>
              <x14:borderColor rgb="FF000000"/>
              <x14:negativeFillColor rgb="FFFF0000"/>
              <x14:axisColor rgb="FF000000"/>
            </x14:dataBar>
          </x14:cfRule>
          <xm:sqref>E61:E73</xm:sqref>
        </x14:conditionalFormatting>
        <x14:conditionalFormatting xmlns:xm="http://schemas.microsoft.com/office/excel/2006/main" pivot="1">
          <x14:cfRule type="dataBar" id="{98CB69E7-D0C6-47C7-841C-75669B16E78C}">
            <x14:dataBar minLength="0" maxLength="100" border="1" gradient="0">
              <x14:cfvo type="autoMin"/>
              <x14:cfvo type="autoMax"/>
              <x14:borderColor rgb="FF000000"/>
              <x14:negativeFillColor rgb="FFFF0000"/>
              <x14:axisColor rgb="FF000000"/>
            </x14:dataBar>
          </x14:cfRule>
          <xm:sqref>E61:E73</xm:sqref>
        </x14:conditionalFormatting>
        <x14:conditionalFormatting xmlns:xm="http://schemas.microsoft.com/office/excel/2006/main" pivot="1">
          <x14:cfRule type="dataBar" id="{A594CC4A-3587-44EF-B057-1FECBB7185AF}">
            <x14:dataBar minLength="0" maxLength="100" border="1" gradient="0">
              <x14:cfvo type="autoMin"/>
              <x14:cfvo type="autoMax"/>
              <x14:borderColor rgb="FF000000"/>
              <x14:negativeFillColor rgb="FFFF0000"/>
              <x14:axisColor rgb="FF000000"/>
            </x14:dataBar>
          </x14:cfRule>
          <xm:sqref>I35:I47</xm:sqref>
        </x14:conditionalFormatting>
        <x14:conditionalFormatting xmlns:xm="http://schemas.microsoft.com/office/excel/2006/main" pivot="1">
          <x14:cfRule type="dataBar" id="{7149E32A-4F9E-4712-934E-7832796A1988}">
            <x14:dataBar minLength="0" maxLength="100" border="1" gradient="0">
              <x14:cfvo type="autoMin"/>
              <x14:cfvo type="autoMax"/>
              <x14:borderColor rgb="FF000000"/>
              <x14:negativeFillColor rgb="FFFF0000"/>
              <x14:axisColor rgb="FF000000"/>
            </x14:dataBar>
          </x14:cfRule>
          <xm:sqref>I35:I47</xm:sqref>
        </x14:conditionalFormatting>
        <x14:conditionalFormatting xmlns:xm="http://schemas.microsoft.com/office/excel/2006/main" pivot="1">
          <x14:cfRule type="dataBar" id="{EC029755-1624-49DA-998E-9584E2DE6B68}">
            <x14:dataBar minLength="0" maxLength="100" border="1" gradient="0">
              <x14:cfvo type="autoMin"/>
              <x14:cfvo type="autoMax"/>
              <x14:borderColor rgb="FF000000"/>
              <x14:negativeFillColor rgb="FFFF0000"/>
              <x14:axisColor rgb="FF000000"/>
            </x14:dataBar>
          </x14:cfRule>
          <xm:sqref>E23:E27</xm:sqref>
        </x14:conditionalFormatting>
        <x14:conditionalFormatting xmlns:xm="http://schemas.microsoft.com/office/excel/2006/main" pivot="1">
          <x14:cfRule type="dataBar" id="{C997ED70-813B-42DD-A822-FF828FF86E24}">
            <x14:dataBar minLength="0" maxLength="100" border="1" gradient="0">
              <x14:cfvo type="autoMin"/>
              <x14:cfvo type="autoMax"/>
              <x14:borderColor rgb="FF000000"/>
              <x14:negativeFillColor rgb="FFFF0000"/>
              <x14:axisColor rgb="FF000000"/>
            </x14:dataBar>
          </x14:cfRule>
          <xm:sqref>E23:E27</xm:sqref>
        </x14:conditionalFormatting>
        <x14:conditionalFormatting xmlns:xm="http://schemas.microsoft.com/office/excel/2006/main" pivot="1">
          <x14:cfRule type="iconSet" priority="16" id="{9CA37DE0-76BF-4976-9C7C-5C740BAEFE30}">
            <x14:iconSet iconSet="3Triangles">
              <x14:cfvo type="percent">
                <xm:f>0</xm:f>
              </x14:cfvo>
              <x14:cfvo type="percent">
                <xm:f>33</xm:f>
              </x14:cfvo>
              <x14:cfvo type="percent">
                <xm:f>67</xm:f>
              </x14:cfvo>
            </x14:iconSet>
          </x14:cfRule>
          <xm:sqref>I53:J64</xm:sqref>
        </x14:conditionalFormatting>
      </x14:conditionalFormattings>
    </ex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B0224-580E-4211-AC59-36581E9EFDF1}">
  <sheetPr>
    <tabColor theme="8" tint="-0.249977111117893"/>
  </sheetPr>
  <dimension ref="A1"/>
  <sheetViews>
    <sheetView showGridLines="0" tabSelected="1" zoomScale="55" zoomScaleNormal="55" workbookViewId="0">
      <selection activeCell="AL8" sqref="AL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FAEFD-B37C-44F3-AF25-F83815A031A0}">
  <sheetPr>
    <tabColor theme="8" tint="0.39997558519241921"/>
  </sheetPr>
  <dimension ref="A1:Q95"/>
  <sheetViews>
    <sheetView workbookViewId="0">
      <selection sqref="A1:Q95"/>
    </sheetView>
  </sheetViews>
  <sheetFormatPr defaultRowHeight="15" x14ac:dyDescent="0.25"/>
  <cols>
    <col min="1" max="1" width="7.140625" bestFit="1" customWidth="1"/>
    <col min="2" max="2" width="10.85546875" bestFit="1" customWidth="1"/>
    <col min="3" max="3" width="13.28515625" bestFit="1" customWidth="1"/>
    <col min="4" max="4" width="29.7109375" bestFit="1" customWidth="1"/>
    <col min="5" max="5" width="9.7109375" bestFit="1" customWidth="1"/>
    <col min="6" max="6" width="8.28515625" bestFit="1" customWidth="1"/>
    <col min="7" max="8" width="10.42578125" bestFit="1" customWidth="1"/>
    <col min="9" max="9" width="12.42578125" bestFit="1" customWidth="1"/>
    <col min="10" max="10" width="6" bestFit="1" customWidth="1"/>
    <col min="11" max="12" width="11.28515625" bestFit="1" customWidth="1"/>
    <col min="13" max="13" width="10.7109375" bestFit="1" customWidth="1"/>
    <col min="14" max="14" width="13.140625" bestFit="1" customWidth="1"/>
    <col min="15" max="15" width="12.5703125" bestFit="1" customWidth="1"/>
    <col min="16" max="16" width="12.7109375" bestFit="1" customWidth="1"/>
    <col min="17" max="17" width="14.85546875" bestFit="1" customWidth="1"/>
  </cols>
  <sheetData>
    <row r="1" spans="1:17" x14ac:dyDescent="0.25">
      <c r="A1" t="s">
        <v>0</v>
      </c>
      <c r="B1" t="s">
        <v>1</v>
      </c>
      <c r="C1" t="s">
        <v>2</v>
      </c>
      <c r="D1" t="s">
        <v>3</v>
      </c>
      <c r="E1" t="s">
        <v>4</v>
      </c>
      <c r="F1" t="s">
        <v>5</v>
      </c>
      <c r="G1" t="s">
        <v>6</v>
      </c>
      <c r="H1" t="s">
        <v>7</v>
      </c>
      <c r="I1" t="s">
        <v>8</v>
      </c>
      <c r="J1" t="s">
        <v>9</v>
      </c>
      <c r="K1" t="s">
        <v>10</v>
      </c>
      <c r="L1" t="s">
        <v>11</v>
      </c>
      <c r="M1" t="s">
        <v>56</v>
      </c>
      <c r="N1" t="s">
        <v>57</v>
      </c>
      <c r="O1" t="s">
        <v>58</v>
      </c>
      <c r="P1" t="s">
        <v>59</v>
      </c>
      <c r="Q1" t="s">
        <v>60</v>
      </c>
    </row>
    <row r="2" spans="1:17" x14ac:dyDescent="0.25">
      <c r="A2" t="s">
        <v>61</v>
      </c>
      <c r="B2" t="s">
        <v>62</v>
      </c>
      <c r="C2" t="s">
        <v>63</v>
      </c>
      <c r="D2" t="s">
        <v>64</v>
      </c>
      <c r="E2" t="s">
        <v>65</v>
      </c>
      <c r="F2" t="s">
        <v>66</v>
      </c>
      <c r="G2" s="1">
        <v>36741</v>
      </c>
      <c r="H2" s="1">
        <v>29281</v>
      </c>
      <c r="I2" t="s">
        <v>18</v>
      </c>
      <c r="J2">
        <v>35000</v>
      </c>
      <c r="K2">
        <v>0.89</v>
      </c>
      <c r="L2">
        <v>0.52</v>
      </c>
      <c r="M2" s="2">
        <v>16869</v>
      </c>
      <c r="N2">
        <v>46</v>
      </c>
      <c r="O2" t="s">
        <v>67</v>
      </c>
      <c r="P2">
        <v>-41.573033707865171</v>
      </c>
      <c r="Q2" t="s">
        <v>68</v>
      </c>
    </row>
    <row r="3" spans="1:17" x14ac:dyDescent="0.25">
      <c r="A3" t="s">
        <v>69</v>
      </c>
      <c r="B3" t="s">
        <v>70</v>
      </c>
      <c r="C3" t="s">
        <v>39</v>
      </c>
      <c r="D3" t="s">
        <v>71</v>
      </c>
      <c r="E3" t="s">
        <v>65</v>
      </c>
      <c r="F3" t="s">
        <v>23</v>
      </c>
      <c r="G3" s="1">
        <v>40362</v>
      </c>
      <c r="H3" s="1">
        <v>25550</v>
      </c>
      <c r="I3" t="s">
        <v>72</v>
      </c>
      <c r="J3">
        <v>17456</v>
      </c>
      <c r="K3">
        <v>0.87</v>
      </c>
      <c r="L3">
        <v>0.97</v>
      </c>
      <c r="M3" s="2">
        <v>20600</v>
      </c>
      <c r="N3">
        <v>56</v>
      </c>
      <c r="O3" t="s">
        <v>73</v>
      </c>
      <c r="P3">
        <v>11.494252873563216</v>
      </c>
      <c r="Q3" t="s">
        <v>74</v>
      </c>
    </row>
    <row r="4" spans="1:17" x14ac:dyDescent="0.25">
      <c r="A4" t="s">
        <v>75</v>
      </c>
      <c r="B4" t="s">
        <v>76</v>
      </c>
      <c r="C4" t="s">
        <v>40</v>
      </c>
      <c r="D4" t="s">
        <v>71</v>
      </c>
      <c r="E4" t="s">
        <v>65</v>
      </c>
      <c r="F4" t="s">
        <v>23</v>
      </c>
      <c r="G4" s="1">
        <v>42326</v>
      </c>
      <c r="H4" s="1">
        <v>28807</v>
      </c>
      <c r="I4" t="s">
        <v>72</v>
      </c>
      <c r="J4">
        <v>7943</v>
      </c>
      <c r="K4">
        <v>0.75</v>
      </c>
      <c r="L4">
        <v>0.7</v>
      </c>
      <c r="M4" s="2">
        <v>17343</v>
      </c>
      <c r="N4">
        <v>48</v>
      </c>
      <c r="O4" t="s">
        <v>67</v>
      </c>
      <c r="P4">
        <v>-6.6666666666666723</v>
      </c>
      <c r="Q4" t="s">
        <v>68</v>
      </c>
    </row>
    <row r="5" spans="1:17" x14ac:dyDescent="0.25">
      <c r="A5" t="s">
        <v>77</v>
      </c>
      <c r="B5" t="s">
        <v>78</v>
      </c>
      <c r="C5" t="s">
        <v>27</v>
      </c>
      <c r="D5" t="s">
        <v>71</v>
      </c>
      <c r="E5" t="s">
        <v>65</v>
      </c>
      <c r="F5" t="s">
        <v>23</v>
      </c>
      <c r="G5" s="1">
        <v>40688</v>
      </c>
      <c r="H5" s="1">
        <v>26102</v>
      </c>
      <c r="I5" t="s">
        <v>72</v>
      </c>
      <c r="J5">
        <v>16613</v>
      </c>
      <c r="K5">
        <v>0.84</v>
      </c>
      <c r="L5">
        <v>0.42</v>
      </c>
      <c r="M5" s="2">
        <v>20048</v>
      </c>
      <c r="N5">
        <v>55</v>
      </c>
      <c r="O5" t="s">
        <v>73</v>
      </c>
      <c r="P5">
        <v>-50</v>
      </c>
      <c r="Q5" t="s">
        <v>68</v>
      </c>
    </row>
    <row r="6" spans="1:17" x14ac:dyDescent="0.25">
      <c r="A6" t="s">
        <v>79</v>
      </c>
      <c r="B6" t="s">
        <v>80</v>
      </c>
      <c r="C6" t="s">
        <v>81</v>
      </c>
      <c r="D6" t="s">
        <v>71</v>
      </c>
      <c r="E6" t="s">
        <v>65</v>
      </c>
      <c r="F6" t="s">
        <v>23</v>
      </c>
      <c r="G6" s="1">
        <v>40726</v>
      </c>
      <c r="H6" s="1">
        <v>29194</v>
      </c>
      <c r="I6" t="s">
        <v>72</v>
      </c>
      <c r="J6">
        <v>6329</v>
      </c>
      <c r="K6">
        <v>0.81</v>
      </c>
      <c r="L6">
        <v>0.71</v>
      </c>
      <c r="M6" s="2">
        <v>16956</v>
      </c>
      <c r="N6">
        <v>46</v>
      </c>
      <c r="O6" t="s">
        <v>67</v>
      </c>
      <c r="P6">
        <v>-12.345679012345689</v>
      </c>
      <c r="Q6" t="s">
        <v>68</v>
      </c>
    </row>
    <row r="7" spans="1:17" x14ac:dyDescent="0.25">
      <c r="A7" t="s">
        <v>82</v>
      </c>
      <c r="B7" t="s">
        <v>83</v>
      </c>
      <c r="C7" t="s">
        <v>41</v>
      </c>
      <c r="D7" t="s">
        <v>71</v>
      </c>
      <c r="E7" t="s">
        <v>65</v>
      </c>
      <c r="F7" t="s">
        <v>66</v>
      </c>
      <c r="G7" s="1">
        <v>41498</v>
      </c>
      <c r="H7" s="1">
        <v>29664</v>
      </c>
      <c r="I7" t="s">
        <v>72</v>
      </c>
      <c r="J7">
        <v>17215</v>
      </c>
      <c r="K7">
        <v>0.8</v>
      </c>
      <c r="L7">
        <v>0.87</v>
      </c>
      <c r="M7" s="2">
        <v>16486</v>
      </c>
      <c r="N7">
        <v>45</v>
      </c>
      <c r="O7" t="s">
        <v>67</v>
      </c>
      <c r="P7">
        <v>8.7499999999999947</v>
      </c>
      <c r="Q7" t="s">
        <v>74</v>
      </c>
    </row>
    <row r="8" spans="1:17" x14ac:dyDescent="0.25">
      <c r="A8" t="s">
        <v>84</v>
      </c>
      <c r="B8" t="s">
        <v>85</v>
      </c>
      <c r="C8" t="s">
        <v>42</v>
      </c>
      <c r="D8" t="s">
        <v>71</v>
      </c>
      <c r="E8" t="s">
        <v>65</v>
      </c>
      <c r="F8" t="s">
        <v>20</v>
      </c>
      <c r="G8" s="1">
        <v>41905</v>
      </c>
      <c r="H8" s="1">
        <v>25213</v>
      </c>
      <c r="I8" t="s">
        <v>72</v>
      </c>
      <c r="J8">
        <v>4799</v>
      </c>
      <c r="K8">
        <v>0.86</v>
      </c>
      <c r="L8">
        <v>0.64</v>
      </c>
      <c r="M8" s="2">
        <v>20937</v>
      </c>
      <c r="N8">
        <v>57</v>
      </c>
      <c r="O8" t="s">
        <v>73</v>
      </c>
      <c r="P8">
        <v>-25.581395348837205</v>
      </c>
      <c r="Q8" t="s">
        <v>68</v>
      </c>
    </row>
    <row r="9" spans="1:17" x14ac:dyDescent="0.25">
      <c r="A9" t="s">
        <v>86</v>
      </c>
      <c r="B9" t="s">
        <v>87</v>
      </c>
      <c r="C9" t="s">
        <v>43</v>
      </c>
      <c r="D9" t="s">
        <v>71</v>
      </c>
      <c r="E9" t="s">
        <v>65</v>
      </c>
      <c r="F9" t="s">
        <v>20</v>
      </c>
      <c r="G9" s="1">
        <v>41923</v>
      </c>
      <c r="H9" s="1">
        <v>25210</v>
      </c>
      <c r="I9" t="s">
        <v>72</v>
      </c>
      <c r="J9">
        <v>18547</v>
      </c>
      <c r="K9">
        <v>0.82</v>
      </c>
      <c r="L9">
        <v>0.65</v>
      </c>
      <c r="M9" s="2">
        <v>20940</v>
      </c>
      <c r="N9">
        <v>57</v>
      </c>
      <c r="O9" t="s">
        <v>73</v>
      </c>
      <c r="P9">
        <v>-20.731707317073162</v>
      </c>
      <c r="Q9" t="s">
        <v>68</v>
      </c>
    </row>
    <row r="10" spans="1:17" x14ac:dyDescent="0.25">
      <c r="A10" t="s">
        <v>88</v>
      </c>
      <c r="B10" t="s">
        <v>89</v>
      </c>
      <c r="C10" t="s">
        <v>44</v>
      </c>
      <c r="D10" t="s">
        <v>71</v>
      </c>
      <c r="E10" t="s">
        <v>65</v>
      </c>
      <c r="F10" t="s">
        <v>23</v>
      </c>
      <c r="G10" s="1">
        <v>42105</v>
      </c>
      <c r="H10" s="1">
        <v>23312</v>
      </c>
      <c r="I10" t="s">
        <v>72</v>
      </c>
      <c r="J10">
        <v>4649</v>
      </c>
      <c r="K10">
        <v>0.75</v>
      </c>
      <c r="L10">
        <v>0.78</v>
      </c>
      <c r="M10" s="2">
        <v>22838</v>
      </c>
      <c r="N10">
        <v>63</v>
      </c>
      <c r="O10" t="s">
        <v>90</v>
      </c>
      <c r="P10">
        <v>4.0000000000000036</v>
      </c>
      <c r="Q10" t="s">
        <v>74</v>
      </c>
    </row>
    <row r="11" spans="1:17" x14ac:dyDescent="0.25">
      <c r="A11" t="s">
        <v>91</v>
      </c>
      <c r="B11" t="s">
        <v>92</v>
      </c>
      <c r="C11" t="s">
        <v>54</v>
      </c>
      <c r="D11" t="s">
        <v>71</v>
      </c>
      <c r="E11" t="s">
        <v>65</v>
      </c>
      <c r="F11" t="s">
        <v>66</v>
      </c>
      <c r="G11" s="1">
        <v>42105</v>
      </c>
      <c r="H11" s="1">
        <v>30808</v>
      </c>
      <c r="I11" t="s">
        <v>72</v>
      </c>
      <c r="J11">
        <v>15173</v>
      </c>
      <c r="K11">
        <v>0.85</v>
      </c>
      <c r="L11">
        <v>0.96</v>
      </c>
      <c r="M11" s="2">
        <v>15342</v>
      </c>
      <c r="N11">
        <v>42</v>
      </c>
      <c r="O11" t="s">
        <v>67</v>
      </c>
      <c r="P11">
        <v>12.941176470588234</v>
      </c>
      <c r="Q11" t="s">
        <v>74</v>
      </c>
    </row>
    <row r="12" spans="1:17" x14ac:dyDescent="0.25">
      <c r="A12" t="s">
        <v>93</v>
      </c>
      <c r="B12" t="s">
        <v>94</v>
      </c>
      <c r="C12" t="s">
        <v>95</v>
      </c>
      <c r="D12" t="s">
        <v>71</v>
      </c>
      <c r="E12" t="s">
        <v>65</v>
      </c>
      <c r="F12" t="s">
        <v>66</v>
      </c>
      <c r="G12" s="1">
        <v>42469</v>
      </c>
      <c r="H12" s="1">
        <v>30487</v>
      </c>
      <c r="I12" t="s">
        <v>72</v>
      </c>
      <c r="J12">
        <v>18240</v>
      </c>
      <c r="K12">
        <v>0.89</v>
      </c>
      <c r="L12">
        <v>0.61</v>
      </c>
      <c r="M12" s="2">
        <v>15663</v>
      </c>
      <c r="N12">
        <v>43</v>
      </c>
      <c r="O12" t="s">
        <v>67</v>
      </c>
      <c r="P12">
        <v>-31.460674157303377</v>
      </c>
      <c r="Q12" t="s">
        <v>68</v>
      </c>
    </row>
    <row r="13" spans="1:17" x14ac:dyDescent="0.25">
      <c r="A13" t="s">
        <v>96</v>
      </c>
      <c r="B13" t="s">
        <v>97</v>
      </c>
      <c r="C13" t="s">
        <v>98</v>
      </c>
      <c r="D13" t="s">
        <v>71</v>
      </c>
      <c r="E13" t="s">
        <v>65</v>
      </c>
      <c r="F13" t="s">
        <v>66</v>
      </c>
      <c r="G13" s="1">
        <v>41923</v>
      </c>
      <c r="H13" s="1">
        <v>27988</v>
      </c>
      <c r="I13" t="s">
        <v>72</v>
      </c>
      <c r="J13">
        <v>3445</v>
      </c>
      <c r="K13">
        <v>0.78</v>
      </c>
      <c r="L13">
        <v>0.65</v>
      </c>
      <c r="M13" s="2">
        <v>18162</v>
      </c>
      <c r="N13">
        <v>50</v>
      </c>
      <c r="O13" t="s">
        <v>73</v>
      </c>
      <c r="P13">
        <v>-16.666666666666664</v>
      </c>
      <c r="Q13" t="s">
        <v>68</v>
      </c>
    </row>
    <row r="14" spans="1:17" x14ac:dyDescent="0.25">
      <c r="A14" t="s">
        <v>99</v>
      </c>
      <c r="B14" t="s">
        <v>100</v>
      </c>
      <c r="C14" t="s">
        <v>45</v>
      </c>
      <c r="D14" t="s">
        <v>71</v>
      </c>
      <c r="E14" t="s">
        <v>65</v>
      </c>
      <c r="F14" t="s">
        <v>23</v>
      </c>
      <c r="G14" s="1">
        <v>42417</v>
      </c>
      <c r="H14" s="1">
        <v>23641</v>
      </c>
      <c r="I14" t="s">
        <v>72</v>
      </c>
      <c r="J14">
        <v>13889</v>
      </c>
      <c r="K14">
        <v>0.85</v>
      </c>
      <c r="L14">
        <v>0.61</v>
      </c>
      <c r="M14" s="2">
        <v>22509</v>
      </c>
      <c r="N14">
        <v>62</v>
      </c>
      <c r="O14" t="s">
        <v>90</v>
      </c>
      <c r="P14">
        <v>-28.235294117647058</v>
      </c>
      <c r="Q14" t="s">
        <v>68</v>
      </c>
    </row>
    <row r="15" spans="1:17" x14ac:dyDescent="0.25">
      <c r="A15" t="s">
        <v>101</v>
      </c>
      <c r="B15" t="s">
        <v>102</v>
      </c>
      <c r="C15" t="s">
        <v>55</v>
      </c>
      <c r="D15" t="s">
        <v>71</v>
      </c>
      <c r="E15" t="s">
        <v>65</v>
      </c>
      <c r="F15" t="s">
        <v>66</v>
      </c>
      <c r="G15" s="1">
        <v>43121</v>
      </c>
      <c r="H15" s="1">
        <v>29256</v>
      </c>
      <c r="I15" t="s">
        <v>72</v>
      </c>
      <c r="J15">
        <v>23467</v>
      </c>
      <c r="K15">
        <v>0.79</v>
      </c>
      <c r="L15">
        <v>0.95</v>
      </c>
      <c r="M15" s="2">
        <v>16894</v>
      </c>
      <c r="N15">
        <v>46</v>
      </c>
      <c r="O15" t="s">
        <v>67</v>
      </c>
      <c r="P15">
        <v>20.253164556962012</v>
      </c>
      <c r="Q15" t="s">
        <v>74</v>
      </c>
    </row>
    <row r="16" spans="1:17" x14ac:dyDescent="0.25">
      <c r="A16" t="s">
        <v>103</v>
      </c>
      <c r="B16" t="s">
        <v>104</v>
      </c>
      <c r="C16" t="s">
        <v>105</v>
      </c>
      <c r="D16" t="s">
        <v>71</v>
      </c>
      <c r="E16" t="s">
        <v>65</v>
      </c>
      <c r="F16" t="s">
        <v>23</v>
      </c>
      <c r="G16" s="1">
        <v>43121</v>
      </c>
      <c r="H16" s="1">
        <v>28364</v>
      </c>
      <c r="I16" t="s">
        <v>72</v>
      </c>
      <c r="J16">
        <v>2486</v>
      </c>
      <c r="K16">
        <v>0.83</v>
      </c>
      <c r="L16">
        <v>0.67</v>
      </c>
      <c r="M16" s="2">
        <v>17786</v>
      </c>
      <c r="N16">
        <v>49</v>
      </c>
      <c r="O16" t="s">
        <v>67</v>
      </c>
      <c r="P16">
        <v>-19.277108433734931</v>
      </c>
      <c r="Q16" t="s">
        <v>68</v>
      </c>
    </row>
    <row r="17" spans="1:17" x14ac:dyDescent="0.25">
      <c r="A17" t="s">
        <v>106</v>
      </c>
      <c r="B17" t="s">
        <v>107</v>
      </c>
      <c r="C17" t="s">
        <v>28</v>
      </c>
      <c r="D17" t="s">
        <v>71</v>
      </c>
      <c r="E17" t="s">
        <v>65</v>
      </c>
      <c r="F17" t="s">
        <v>23</v>
      </c>
      <c r="G17" s="1">
        <v>43121</v>
      </c>
      <c r="H17" s="1">
        <v>23497</v>
      </c>
      <c r="I17" t="s">
        <v>72</v>
      </c>
      <c r="J17">
        <v>9365</v>
      </c>
      <c r="K17">
        <v>0.84</v>
      </c>
      <c r="L17">
        <v>0.4</v>
      </c>
      <c r="M17" s="2">
        <v>22653</v>
      </c>
      <c r="N17">
        <v>62</v>
      </c>
      <c r="O17" t="s">
        <v>90</v>
      </c>
      <c r="P17">
        <v>-52.380952380952372</v>
      </c>
      <c r="Q17" t="s">
        <v>68</v>
      </c>
    </row>
    <row r="18" spans="1:17" x14ac:dyDescent="0.25">
      <c r="A18" t="s">
        <v>108</v>
      </c>
      <c r="B18" t="s">
        <v>109</v>
      </c>
      <c r="C18" t="s">
        <v>26</v>
      </c>
      <c r="D18" t="s">
        <v>71</v>
      </c>
      <c r="E18" t="s">
        <v>65</v>
      </c>
      <c r="F18" t="s">
        <v>66</v>
      </c>
      <c r="G18" s="1">
        <v>36312</v>
      </c>
      <c r="H18" s="1">
        <v>23532</v>
      </c>
      <c r="I18" t="s">
        <v>72</v>
      </c>
      <c r="J18">
        <v>22438</v>
      </c>
      <c r="K18">
        <v>0.82</v>
      </c>
      <c r="L18">
        <v>0.56999999999999995</v>
      </c>
      <c r="M18" s="2">
        <v>22618</v>
      </c>
      <c r="N18">
        <v>62</v>
      </c>
      <c r="O18" t="s">
        <v>90</v>
      </c>
      <c r="P18">
        <v>-30.487804878048781</v>
      </c>
      <c r="Q18" t="s">
        <v>68</v>
      </c>
    </row>
    <row r="19" spans="1:17" x14ac:dyDescent="0.25">
      <c r="A19" t="s">
        <v>110</v>
      </c>
      <c r="B19" t="s">
        <v>111</v>
      </c>
      <c r="C19" t="s">
        <v>12</v>
      </c>
      <c r="D19" t="s">
        <v>71</v>
      </c>
      <c r="E19" t="s">
        <v>65</v>
      </c>
      <c r="F19" t="s">
        <v>66</v>
      </c>
      <c r="G19" s="1">
        <v>38115</v>
      </c>
      <c r="H19" s="1">
        <v>32743</v>
      </c>
      <c r="I19" t="s">
        <v>72</v>
      </c>
      <c r="J19">
        <v>20869</v>
      </c>
      <c r="K19">
        <v>0.77</v>
      </c>
      <c r="L19">
        <v>0.41</v>
      </c>
      <c r="M19" s="2">
        <v>13407</v>
      </c>
      <c r="N19">
        <v>37</v>
      </c>
      <c r="O19" t="s">
        <v>112</v>
      </c>
      <c r="P19">
        <v>-46.753246753246756</v>
      </c>
      <c r="Q19" t="s">
        <v>68</v>
      </c>
    </row>
    <row r="20" spans="1:17" x14ac:dyDescent="0.25">
      <c r="A20" t="s">
        <v>113</v>
      </c>
      <c r="B20" t="s">
        <v>114</v>
      </c>
      <c r="C20" t="s">
        <v>63</v>
      </c>
      <c r="D20" t="s">
        <v>71</v>
      </c>
      <c r="E20" t="s">
        <v>65</v>
      </c>
      <c r="F20" t="s">
        <v>23</v>
      </c>
      <c r="G20" s="1">
        <v>40850</v>
      </c>
      <c r="H20" s="1">
        <v>28621</v>
      </c>
      <c r="I20" t="s">
        <v>72</v>
      </c>
      <c r="J20">
        <v>1428</v>
      </c>
      <c r="K20">
        <v>0.87</v>
      </c>
      <c r="L20">
        <v>0.96</v>
      </c>
      <c r="M20" s="2">
        <v>17529</v>
      </c>
      <c r="N20">
        <v>48</v>
      </c>
      <c r="O20" t="s">
        <v>67</v>
      </c>
      <c r="P20">
        <v>10.344827586206893</v>
      </c>
      <c r="Q20" t="s">
        <v>74</v>
      </c>
    </row>
    <row r="21" spans="1:17" x14ac:dyDescent="0.25">
      <c r="A21" t="s">
        <v>115</v>
      </c>
      <c r="B21" t="s">
        <v>116</v>
      </c>
      <c r="C21" t="s">
        <v>31</v>
      </c>
      <c r="D21" t="s">
        <v>71</v>
      </c>
      <c r="E21" t="s">
        <v>65</v>
      </c>
      <c r="F21" t="s">
        <v>66</v>
      </c>
      <c r="G21" s="1">
        <v>35868</v>
      </c>
      <c r="H21" s="1">
        <v>28782</v>
      </c>
      <c r="I21" t="s">
        <v>72</v>
      </c>
      <c r="J21">
        <v>16767</v>
      </c>
      <c r="K21">
        <v>0.84</v>
      </c>
      <c r="L21">
        <v>0.69</v>
      </c>
      <c r="M21" s="2">
        <v>17368</v>
      </c>
      <c r="N21">
        <v>48</v>
      </c>
      <c r="O21" t="s">
        <v>67</v>
      </c>
      <c r="P21">
        <v>-17.857142857142861</v>
      </c>
      <c r="Q21" t="s">
        <v>68</v>
      </c>
    </row>
    <row r="22" spans="1:17" x14ac:dyDescent="0.25">
      <c r="A22" t="s">
        <v>117</v>
      </c>
      <c r="B22" t="s">
        <v>118</v>
      </c>
      <c r="C22" t="s">
        <v>48</v>
      </c>
      <c r="D22" t="s">
        <v>71</v>
      </c>
      <c r="E22" t="s">
        <v>65</v>
      </c>
      <c r="F22" t="s">
        <v>66</v>
      </c>
      <c r="G22" s="1">
        <v>38930</v>
      </c>
      <c r="H22" s="1">
        <v>28166</v>
      </c>
      <c r="I22" t="s">
        <v>72</v>
      </c>
      <c r="J22">
        <v>12122</v>
      </c>
      <c r="K22">
        <v>0.76</v>
      </c>
      <c r="L22">
        <v>0.67</v>
      </c>
      <c r="M22" s="2">
        <v>17984</v>
      </c>
      <c r="N22">
        <v>49</v>
      </c>
      <c r="O22" t="s">
        <v>67</v>
      </c>
      <c r="P22">
        <v>-11.84210526315789</v>
      </c>
      <c r="Q22" t="s">
        <v>68</v>
      </c>
    </row>
    <row r="23" spans="1:17" x14ac:dyDescent="0.25">
      <c r="A23" t="s">
        <v>119</v>
      </c>
      <c r="B23" t="s">
        <v>120</v>
      </c>
      <c r="C23" t="s">
        <v>27</v>
      </c>
      <c r="D23" t="s">
        <v>71</v>
      </c>
      <c r="E23" t="s">
        <v>65</v>
      </c>
      <c r="F23" t="s">
        <v>23</v>
      </c>
      <c r="G23" s="1">
        <v>39144</v>
      </c>
      <c r="H23" s="1">
        <v>25356</v>
      </c>
      <c r="I23" t="s">
        <v>72</v>
      </c>
      <c r="J23">
        <v>24004</v>
      </c>
      <c r="K23">
        <v>0.81</v>
      </c>
      <c r="L23">
        <v>0.77</v>
      </c>
      <c r="M23" s="2">
        <v>20794</v>
      </c>
      <c r="N23">
        <v>57</v>
      </c>
      <c r="O23" t="s">
        <v>73</v>
      </c>
      <c r="P23">
        <v>-4.9382716049382758</v>
      </c>
      <c r="Q23" t="s">
        <v>68</v>
      </c>
    </row>
    <row r="24" spans="1:17" x14ac:dyDescent="0.25">
      <c r="A24" t="s">
        <v>121</v>
      </c>
      <c r="B24" t="s">
        <v>122</v>
      </c>
      <c r="C24" t="s">
        <v>95</v>
      </c>
      <c r="D24" t="s">
        <v>71</v>
      </c>
      <c r="E24" t="s">
        <v>65</v>
      </c>
      <c r="F24" t="s">
        <v>23</v>
      </c>
      <c r="G24" s="1">
        <v>42576</v>
      </c>
      <c r="H24" s="1">
        <v>32599</v>
      </c>
      <c r="I24" t="s">
        <v>72</v>
      </c>
      <c r="J24">
        <v>7329</v>
      </c>
      <c r="K24">
        <v>0.86</v>
      </c>
      <c r="L24">
        <v>0.61</v>
      </c>
      <c r="M24" s="2">
        <v>13551</v>
      </c>
      <c r="N24">
        <v>37</v>
      </c>
      <c r="O24" t="s">
        <v>112</v>
      </c>
      <c r="P24">
        <v>-29.069767441860467</v>
      </c>
      <c r="Q24" t="s">
        <v>68</v>
      </c>
    </row>
    <row r="25" spans="1:17" x14ac:dyDescent="0.25">
      <c r="A25" t="s">
        <v>123</v>
      </c>
      <c r="B25" t="s">
        <v>124</v>
      </c>
      <c r="C25" t="s">
        <v>125</v>
      </c>
      <c r="D25" t="s">
        <v>71</v>
      </c>
      <c r="E25" t="s">
        <v>65</v>
      </c>
      <c r="F25" t="s">
        <v>23</v>
      </c>
      <c r="G25" s="1">
        <v>41951</v>
      </c>
      <c r="H25" s="1">
        <v>25803</v>
      </c>
      <c r="I25" t="s">
        <v>72</v>
      </c>
      <c r="J25">
        <v>20603</v>
      </c>
      <c r="K25">
        <v>0.88</v>
      </c>
      <c r="L25">
        <v>0.76</v>
      </c>
      <c r="M25" s="2">
        <v>20347</v>
      </c>
      <c r="N25">
        <v>56</v>
      </c>
      <c r="O25" t="s">
        <v>73</v>
      </c>
      <c r="P25">
        <v>-13.636363636363635</v>
      </c>
      <c r="Q25" t="s">
        <v>68</v>
      </c>
    </row>
    <row r="26" spans="1:17" x14ac:dyDescent="0.25">
      <c r="A26" t="s">
        <v>126</v>
      </c>
      <c r="B26" t="s">
        <v>127</v>
      </c>
      <c r="C26" t="s">
        <v>105</v>
      </c>
      <c r="D26" t="s">
        <v>71</v>
      </c>
      <c r="E26" t="s">
        <v>65</v>
      </c>
      <c r="F26" t="s">
        <v>66</v>
      </c>
      <c r="G26" s="1">
        <v>40952</v>
      </c>
      <c r="H26" s="1">
        <v>29256</v>
      </c>
      <c r="I26" t="s">
        <v>72</v>
      </c>
      <c r="J26">
        <v>18091</v>
      </c>
      <c r="K26">
        <v>0.84</v>
      </c>
      <c r="L26">
        <v>0.91</v>
      </c>
      <c r="M26" s="2">
        <v>16894</v>
      </c>
      <c r="N26">
        <v>46</v>
      </c>
      <c r="O26" t="s">
        <v>67</v>
      </c>
      <c r="P26">
        <v>8.333333333333341</v>
      </c>
      <c r="Q26" t="s">
        <v>74</v>
      </c>
    </row>
    <row r="27" spans="1:17" x14ac:dyDescent="0.25">
      <c r="A27" t="s">
        <v>128</v>
      </c>
      <c r="B27" t="s">
        <v>129</v>
      </c>
      <c r="C27" t="s">
        <v>28</v>
      </c>
      <c r="D27" t="s">
        <v>71</v>
      </c>
      <c r="E27" t="s">
        <v>65</v>
      </c>
      <c r="F27" t="s">
        <v>66</v>
      </c>
      <c r="G27" s="1">
        <v>42036</v>
      </c>
      <c r="H27" s="1">
        <v>26362</v>
      </c>
      <c r="I27" t="s">
        <v>72</v>
      </c>
      <c r="J27">
        <v>21390</v>
      </c>
      <c r="K27">
        <v>0.76</v>
      </c>
      <c r="L27">
        <v>0.89</v>
      </c>
      <c r="M27" s="2">
        <v>19788</v>
      </c>
      <c r="N27">
        <v>54</v>
      </c>
      <c r="O27" t="s">
        <v>73</v>
      </c>
      <c r="P27">
        <v>17.105263157894736</v>
      </c>
      <c r="Q27" t="s">
        <v>74</v>
      </c>
    </row>
    <row r="28" spans="1:17" x14ac:dyDescent="0.25">
      <c r="A28" t="s">
        <v>130</v>
      </c>
      <c r="B28" t="s">
        <v>131</v>
      </c>
      <c r="C28" t="s">
        <v>35</v>
      </c>
      <c r="D28" t="s">
        <v>71</v>
      </c>
      <c r="E28" t="s">
        <v>65</v>
      </c>
      <c r="F28" t="s">
        <v>23</v>
      </c>
      <c r="G28" s="1">
        <v>42476</v>
      </c>
      <c r="H28" s="1">
        <v>30536</v>
      </c>
      <c r="I28" t="s">
        <v>72</v>
      </c>
      <c r="J28">
        <v>13943</v>
      </c>
      <c r="K28">
        <v>0.78</v>
      </c>
      <c r="L28">
        <v>0.78</v>
      </c>
      <c r="M28" s="2">
        <v>15614</v>
      </c>
      <c r="N28">
        <v>43</v>
      </c>
      <c r="O28" t="s">
        <v>67</v>
      </c>
      <c r="P28">
        <v>0</v>
      </c>
      <c r="Q28" t="s">
        <v>68</v>
      </c>
    </row>
    <row r="29" spans="1:17" x14ac:dyDescent="0.25">
      <c r="A29" t="s">
        <v>132</v>
      </c>
      <c r="B29" t="s">
        <v>133</v>
      </c>
      <c r="C29" t="s">
        <v>51</v>
      </c>
      <c r="D29" t="s">
        <v>71</v>
      </c>
      <c r="E29" t="s">
        <v>65</v>
      </c>
      <c r="F29" t="s">
        <v>23</v>
      </c>
      <c r="G29" s="1">
        <v>35217</v>
      </c>
      <c r="H29" s="1">
        <v>28157</v>
      </c>
      <c r="I29" t="s">
        <v>72</v>
      </c>
      <c r="J29">
        <v>9011</v>
      </c>
      <c r="K29">
        <v>0.79</v>
      </c>
      <c r="L29">
        <v>0.46</v>
      </c>
      <c r="M29" s="2">
        <v>17993</v>
      </c>
      <c r="N29">
        <v>49</v>
      </c>
      <c r="O29" t="s">
        <v>67</v>
      </c>
      <c r="P29">
        <v>-41.77215189873418</v>
      </c>
      <c r="Q29" t="s">
        <v>68</v>
      </c>
    </row>
    <row r="30" spans="1:17" x14ac:dyDescent="0.25">
      <c r="A30" t="s">
        <v>134</v>
      </c>
      <c r="B30" t="s">
        <v>135</v>
      </c>
      <c r="C30" t="s">
        <v>39</v>
      </c>
      <c r="D30" t="s">
        <v>71</v>
      </c>
      <c r="E30" t="s">
        <v>65</v>
      </c>
      <c r="F30" t="s">
        <v>23</v>
      </c>
      <c r="G30" s="1">
        <v>35389</v>
      </c>
      <c r="H30" s="1">
        <v>28970</v>
      </c>
      <c r="I30" t="s">
        <v>72</v>
      </c>
      <c r="J30">
        <v>5390</v>
      </c>
      <c r="K30">
        <v>0.81</v>
      </c>
      <c r="L30">
        <v>0.4</v>
      </c>
      <c r="M30" s="2">
        <v>17180</v>
      </c>
      <c r="N30">
        <v>47</v>
      </c>
      <c r="O30" t="s">
        <v>67</v>
      </c>
      <c r="P30">
        <v>-50.617283950617285</v>
      </c>
      <c r="Q30" t="s">
        <v>68</v>
      </c>
    </row>
    <row r="31" spans="1:17" x14ac:dyDescent="0.25">
      <c r="A31" t="s">
        <v>136</v>
      </c>
      <c r="B31" t="s">
        <v>137</v>
      </c>
      <c r="C31" t="s">
        <v>40</v>
      </c>
      <c r="D31" t="s">
        <v>71</v>
      </c>
      <c r="E31" t="s">
        <v>65</v>
      </c>
      <c r="F31" t="s">
        <v>23</v>
      </c>
      <c r="G31" s="1">
        <v>35966</v>
      </c>
      <c r="H31" s="1">
        <v>27774</v>
      </c>
      <c r="I31" t="s">
        <v>72</v>
      </c>
      <c r="J31">
        <v>19015</v>
      </c>
      <c r="K31">
        <v>0.84</v>
      </c>
      <c r="L31">
        <v>0.65</v>
      </c>
      <c r="M31" s="2">
        <v>18376</v>
      </c>
      <c r="N31">
        <v>50</v>
      </c>
      <c r="O31" t="s">
        <v>73</v>
      </c>
      <c r="P31">
        <v>-22.619047619047613</v>
      </c>
      <c r="Q31" t="s">
        <v>68</v>
      </c>
    </row>
    <row r="32" spans="1:17" x14ac:dyDescent="0.25">
      <c r="A32" t="s">
        <v>138</v>
      </c>
      <c r="B32" t="s">
        <v>139</v>
      </c>
      <c r="C32" t="s">
        <v>16</v>
      </c>
      <c r="D32" t="s">
        <v>71</v>
      </c>
      <c r="E32" t="s">
        <v>65</v>
      </c>
      <c r="F32" t="s">
        <v>20</v>
      </c>
      <c r="G32" s="1">
        <v>36904</v>
      </c>
      <c r="H32" s="1">
        <v>29124</v>
      </c>
      <c r="I32" t="s">
        <v>72</v>
      </c>
      <c r="J32">
        <v>8138</v>
      </c>
      <c r="K32">
        <v>0.82</v>
      </c>
      <c r="L32">
        <v>0.83</v>
      </c>
      <c r="M32" s="2">
        <v>17026</v>
      </c>
      <c r="N32">
        <v>47</v>
      </c>
      <c r="O32" t="s">
        <v>67</v>
      </c>
      <c r="P32">
        <v>1.2195121951219523</v>
      </c>
      <c r="Q32" t="s">
        <v>74</v>
      </c>
    </row>
    <row r="33" spans="1:17" x14ac:dyDescent="0.25">
      <c r="A33" t="s">
        <v>140</v>
      </c>
      <c r="B33" t="s">
        <v>141</v>
      </c>
      <c r="C33" t="s">
        <v>42</v>
      </c>
      <c r="D33" t="s">
        <v>71</v>
      </c>
      <c r="E33" t="s">
        <v>65</v>
      </c>
      <c r="F33" t="s">
        <v>20</v>
      </c>
      <c r="G33" s="1">
        <v>41191</v>
      </c>
      <c r="H33" s="1">
        <v>26439</v>
      </c>
      <c r="I33" t="s">
        <v>72</v>
      </c>
      <c r="J33">
        <v>5061</v>
      </c>
      <c r="K33">
        <v>0.75</v>
      </c>
      <c r="L33">
        <v>0.67</v>
      </c>
      <c r="M33" s="2">
        <v>19711</v>
      </c>
      <c r="N33">
        <v>54</v>
      </c>
      <c r="O33" t="s">
        <v>73</v>
      </c>
      <c r="P33">
        <v>-10.666666666666663</v>
      </c>
      <c r="Q33" t="s">
        <v>68</v>
      </c>
    </row>
    <row r="34" spans="1:17" x14ac:dyDescent="0.25">
      <c r="A34" t="s">
        <v>142</v>
      </c>
      <c r="B34" t="s">
        <v>143</v>
      </c>
      <c r="C34" t="s">
        <v>43</v>
      </c>
      <c r="D34" t="s">
        <v>71</v>
      </c>
      <c r="E34" t="s">
        <v>65</v>
      </c>
      <c r="F34" t="s">
        <v>66</v>
      </c>
      <c r="G34" s="1">
        <v>41378</v>
      </c>
      <c r="H34" s="1">
        <v>26992</v>
      </c>
      <c r="I34" t="s">
        <v>72</v>
      </c>
      <c r="J34">
        <v>8005</v>
      </c>
      <c r="K34">
        <v>0.85</v>
      </c>
      <c r="L34">
        <v>0.75</v>
      </c>
      <c r="M34" s="2">
        <v>19158</v>
      </c>
      <c r="N34">
        <v>52</v>
      </c>
      <c r="O34" t="s">
        <v>73</v>
      </c>
      <c r="P34">
        <v>-11.764705882352938</v>
      </c>
      <c r="Q34" t="s">
        <v>68</v>
      </c>
    </row>
    <row r="35" spans="1:17" x14ac:dyDescent="0.25">
      <c r="A35" t="s">
        <v>144</v>
      </c>
      <c r="B35" t="s">
        <v>145</v>
      </c>
      <c r="C35" t="s">
        <v>44</v>
      </c>
      <c r="D35" t="s">
        <v>71</v>
      </c>
      <c r="E35" t="s">
        <v>65</v>
      </c>
      <c r="F35" t="s">
        <v>23</v>
      </c>
      <c r="G35" s="1">
        <v>41594</v>
      </c>
      <c r="H35" s="1">
        <v>25655</v>
      </c>
      <c r="I35" t="s">
        <v>72</v>
      </c>
      <c r="J35">
        <v>7002</v>
      </c>
      <c r="K35">
        <v>0.87</v>
      </c>
      <c r="L35">
        <v>0.6</v>
      </c>
      <c r="M35" s="2">
        <v>20495</v>
      </c>
      <c r="N35">
        <v>56</v>
      </c>
      <c r="O35" t="s">
        <v>73</v>
      </c>
      <c r="P35">
        <v>-31.03448275862069</v>
      </c>
      <c r="Q35" t="s">
        <v>68</v>
      </c>
    </row>
    <row r="36" spans="1:17" x14ac:dyDescent="0.25">
      <c r="A36" t="s">
        <v>146</v>
      </c>
      <c r="B36" t="s">
        <v>147</v>
      </c>
      <c r="C36" t="s">
        <v>54</v>
      </c>
      <c r="D36" t="s">
        <v>71</v>
      </c>
      <c r="E36" t="s">
        <v>65</v>
      </c>
      <c r="F36" t="s">
        <v>66</v>
      </c>
      <c r="G36" s="1">
        <v>41730</v>
      </c>
      <c r="H36" s="1">
        <v>25254</v>
      </c>
      <c r="I36" t="s">
        <v>72</v>
      </c>
      <c r="J36">
        <v>23284</v>
      </c>
      <c r="K36">
        <v>0.75</v>
      </c>
      <c r="L36">
        <v>0.84</v>
      </c>
      <c r="M36" s="2">
        <v>20896</v>
      </c>
      <c r="N36">
        <v>57</v>
      </c>
      <c r="O36" t="s">
        <v>73</v>
      </c>
      <c r="P36">
        <v>11.999999999999995</v>
      </c>
      <c r="Q36" t="s">
        <v>74</v>
      </c>
    </row>
    <row r="37" spans="1:17" x14ac:dyDescent="0.25">
      <c r="A37" t="s">
        <v>148</v>
      </c>
      <c r="B37" t="s">
        <v>149</v>
      </c>
      <c r="C37" t="s">
        <v>95</v>
      </c>
      <c r="D37" t="s">
        <v>71</v>
      </c>
      <c r="E37" t="s">
        <v>65</v>
      </c>
      <c r="F37" t="s">
        <v>66</v>
      </c>
      <c r="G37" s="1">
        <v>41771</v>
      </c>
      <c r="H37" s="1">
        <v>29985</v>
      </c>
      <c r="I37" t="s">
        <v>72</v>
      </c>
      <c r="J37">
        <v>20019</v>
      </c>
      <c r="K37">
        <v>0.89</v>
      </c>
      <c r="L37">
        <v>0.78</v>
      </c>
      <c r="M37" s="2">
        <v>16165</v>
      </c>
      <c r="N37">
        <v>44</v>
      </c>
      <c r="O37" t="s">
        <v>67</v>
      </c>
      <c r="P37">
        <v>-12.359550561797752</v>
      </c>
      <c r="Q37" t="s">
        <v>68</v>
      </c>
    </row>
    <row r="38" spans="1:17" x14ac:dyDescent="0.25">
      <c r="A38" t="s">
        <v>150</v>
      </c>
      <c r="B38" t="s">
        <v>151</v>
      </c>
      <c r="C38" t="s">
        <v>125</v>
      </c>
      <c r="D38" t="s">
        <v>71</v>
      </c>
      <c r="E38" t="s">
        <v>65</v>
      </c>
      <c r="F38" t="s">
        <v>23</v>
      </c>
      <c r="G38" s="1">
        <v>41771</v>
      </c>
      <c r="H38" s="1">
        <v>28792</v>
      </c>
      <c r="I38" t="s">
        <v>72</v>
      </c>
      <c r="J38">
        <v>11645</v>
      </c>
      <c r="K38">
        <v>0.8</v>
      </c>
      <c r="L38">
        <v>0.62</v>
      </c>
      <c r="M38" s="2">
        <v>17358</v>
      </c>
      <c r="N38">
        <v>48</v>
      </c>
      <c r="O38" t="s">
        <v>67</v>
      </c>
      <c r="P38">
        <v>-22.500000000000007</v>
      </c>
      <c r="Q38" t="s">
        <v>68</v>
      </c>
    </row>
    <row r="39" spans="1:17" x14ac:dyDescent="0.25">
      <c r="A39" t="s">
        <v>152</v>
      </c>
      <c r="B39" t="s">
        <v>153</v>
      </c>
      <c r="C39" t="s">
        <v>12</v>
      </c>
      <c r="D39" t="s">
        <v>13</v>
      </c>
      <c r="E39" t="s">
        <v>14</v>
      </c>
      <c r="F39" t="s">
        <v>66</v>
      </c>
      <c r="G39" s="1">
        <v>41499</v>
      </c>
      <c r="H39" s="1">
        <v>26494</v>
      </c>
      <c r="I39" t="s">
        <v>15</v>
      </c>
      <c r="J39">
        <v>26520</v>
      </c>
      <c r="K39">
        <v>0.81</v>
      </c>
      <c r="L39">
        <v>0.66</v>
      </c>
      <c r="M39" s="2">
        <v>19656</v>
      </c>
      <c r="N39">
        <v>54</v>
      </c>
      <c r="O39" t="s">
        <v>73</v>
      </c>
      <c r="P39">
        <v>-18.518518518518519</v>
      </c>
      <c r="Q39" t="s">
        <v>68</v>
      </c>
    </row>
    <row r="40" spans="1:17" x14ac:dyDescent="0.25">
      <c r="A40" t="s">
        <v>154</v>
      </c>
      <c r="B40" t="s">
        <v>155</v>
      </c>
      <c r="C40" t="s">
        <v>16</v>
      </c>
      <c r="D40" t="s">
        <v>17</v>
      </c>
      <c r="E40" t="s">
        <v>14</v>
      </c>
      <c r="F40" t="s">
        <v>66</v>
      </c>
      <c r="G40" s="1">
        <v>42477</v>
      </c>
      <c r="H40" s="1">
        <v>25717</v>
      </c>
      <c r="I40" t="s">
        <v>18</v>
      </c>
      <c r="J40">
        <v>16455</v>
      </c>
      <c r="K40">
        <v>0.75</v>
      </c>
      <c r="L40">
        <v>0.92</v>
      </c>
      <c r="M40" s="2">
        <v>20433</v>
      </c>
      <c r="N40">
        <v>56</v>
      </c>
      <c r="O40" t="s">
        <v>73</v>
      </c>
      <c r="P40">
        <v>22.666666666666671</v>
      </c>
      <c r="Q40" t="s">
        <v>74</v>
      </c>
    </row>
    <row r="41" spans="1:17" x14ac:dyDescent="0.25">
      <c r="A41" t="s">
        <v>156</v>
      </c>
      <c r="B41" t="s">
        <v>157</v>
      </c>
      <c r="C41" t="s">
        <v>19</v>
      </c>
      <c r="D41" t="s">
        <v>17</v>
      </c>
      <c r="E41" t="s">
        <v>14</v>
      </c>
      <c r="F41" t="s">
        <v>20</v>
      </c>
      <c r="G41" s="1">
        <v>37131</v>
      </c>
      <c r="H41" s="1">
        <v>22910</v>
      </c>
      <c r="I41" t="s">
        <v>18</v>
      </c>
      <c r="J41">
        <v>4981</v>
      </c>
      <c r="K41">
        <v>0.77</v>
      </c>
      <c r="L41">
        <v>0.86</v>
      </c>
      <c r="M41" s="2">
        <v>23240</v>
      </c>
      <c r="N41">
        <v>64</v>
      </c>
      <c r="O41" t="s">
        <v>90</v>
      </c>
      <c r="P41">
        <v>11.688311688311684</v>
      </c>
      <c r="Q41" t="s">
        <v>74</v>
      </c>
    </row>
    <row r="42" spans="1:17" x14ac:dyDescent="0.25">
      <c r="A42" t="s">
        <v>158</v>
      </c>
      <c r="B42" t="s">
        <v>159</v>
      </c>
      <c r="C42" t="s">
        <v>21</v>
      </c>
      <c r="D42" t="s">
        <v>17</v>
      </c>
      <c r="E42" t="s">
        <v>14</v>
      </c>
      <c r="F42" t="s">
        <v>20</v>
      </c>
      <c r="G42" s="1">
        <v>42417</v>
      </c>
      <c r="H42" s="1">
        <v>27626</v>
      </c>
      <c r="I42" t="s">
        <v>18</v>
      </c>
      <c r="J42">
        <v>3165</v>
      </c>
      <c r="K42">
        <v>0.84</v>
      </c>
      <c r="L42">
        <v>0.78</v>
      </c>
      <c r="M42" s="2">
        <v>18524</v>
      </c>
      <c r="N42">
        <v>51</v>
      </c>
      <c r="O42" t="s">
        <v>73</v>
      </c>
      <c r="P42">
        <v>-7.142857142857137</v>
      </c>
      <c r="Q42" t="s">
        <v>68</v>
      </c>
    </row>
    <row r="43" spans="1:17" x14ac:dyDescent="0.25">
      <c r="A43" t="s">
        <v>160</v>
      </c>
      <c r="B43" t="s">
        <v>161</v>
      </c>
      <c r="C43" t="s">
        <v>22</v>
      </c>
      <c r="D43" t="s">
        <v>17</v>
      </c>
      <c r="E43" t="s">
        <v>14</v>
      </c>
      <c r="F43" t="s">
        <v>23</v>
      </c>
      <c r="G43" s="1">
        <v>42462</v>
      </c>
      <c r="H43" s="1">
        <v>24785</v>
      </c>
      <c r="I43" t="s">
        <v>18</v>
      </c>
      <c r="J43">
        <v>20883</v>
      </c>
      <c r="K43">
        <v>0.85</v>
      </c>
      <c r="L43">
        <v>0.76</v>
      </c>
      <c r="M43" s="2">
        <v>21365</v>
      </c>
      <c r="N43">
        <v>59</v>
      </c>
      <c r="O43" t="s">
        <v>73</v>
      </c>
      <c r="P43">
        <v>-10.588235294117645</v>
      </c>
      <c r="Q43" t="s">
        <v>68</v>
      </c>
    </row>
    <row r="44" spans="1:17" x14ac:dyDescent="0.25">
      <c r="A44" t="s">
        <v>162</v>
      </c>
      <c r="B44" t="s">
        <v>163</v>
      </c>
      <c r="C44" t="s">
        <v>24</v>
      </c>
      <c r="D44" t="s">
        <v>17</v>
      </c>
      <c r="E44" t="s">
        <v>14</v>
      </c>
      <c r="F44" t="s">
        <v>66</v>
      </c>
      <c r="G44" s="1">
        <v>43071</v>
      </c>
      <c r="H44" s="1">
        <v>21695</v>
      </c>
      <c r="I44" t="s">
        <v>18</v>
      </c>
      <c r="J44">
        <v>13380</v>
      </c>
      <c r="K44">
        <v>0.8</v>
      </c>
      <c r="L44">
        <v>0.72</v>
      </c>
      <c r="M44" s="2">
        <v>24455</v>
      </c>
      <c r="N44">
        <v>67</v>
      </c>
      <c r="O44" t="s">
        <v>90</v>
      </c>
      <c r="P44">
        <v>-10.000000000000009</v>
      </c>
      <c r="Q44" t="s">
        <v>68</v>
      </c>
    </row>
    <row r="45" spans="1:17" x14ac:dyDescent="0.25">
      <c r="A45" t="s">
        <v>164</v>
      </c>
      <c r="B45" t="s">
        <v>165</v>
      </c>
      <c r="C45" t="s">
        <v>25</v>
      </c>
      <c r="D45" t="s">
        <v>17</v>
      </c>
      <c r="E45" t="s">
        <v>14</v>
      </c>
      <c r="F45" t="s">
        <v>20</v>
      </c>
      <c r="G45" s="1">
        <v>43444</v>
      </c>
      <c r="H45" s="1">
        <v>25438</v>
      </c>
      <c r="I45" t="s">
        <v>18</v>
      </c>
      <c r="J45">
        <v>18856</v>
      </c>
      <c r="K45">
        <v>0.81</v>
      </c>
      <c r="L45">
        <v>0.48</v>
      </c>
      <c r="M45" s="2">
        <v>20712</v>
      </c>
      <c r="N45">
        <v>57</v>
      </c>
      <c r="O45" t="s">
        <v>73</v>
      </c>
      <c r="P45">
        <v>-40.740740740740748</v>
      </c>
      <c r="Q45" t="s">
        <v>68</v>
      </c>
    </row>
    <row r="46" spans="1:17" x14ac:dyDescent="0.25">
      <c r="A46" t="s">
        <v>166</v>
      </c>
      <c r="B46" t="s">
        <v>167</v>
      </c>
      <c r="C46" t="s">
        <v>26</v>
      </c>
      <c r="D46" t="s">
        <v>17</v>
      </c>
      <c r="E46" t="s">
        <v>14</v>
      </c>
      <c r="F46" t="s">
        <v>20</v>
      </c>
      <c r="G46" s="1">
        <v>42403</v>
      </c>
      <c r="H46" s="1">
        <v>30445</v>
      </c>
      <c r="I46" t="s">
        <v>18</v>
      </c>
      <c r="J46">
        <v>13891</v>
      </c>
      <c r="K46">
        <v>0.86</v>
      </c>
      <c r="L46">
        <v>0.97</v>
      </c>
      <c r="M46" s="2">
        <v>15705</v>
      </c>
      <c r="N46">
        <v>43</v>
      </c>
      <c r="O46" t="s">
        <v>67</v>
      </c>
      <c r="P46">
        <v>12.790697674418603</v>
      </c>
      <c r="Q46" t="s">
        <v>74</v>
      </c>
    </row>
    <row r="47" spans="1:17" x14ac:dyDescent="0.25">
      <c r="A47" t="s">
        <v>168</v>
      </c>
      <c r="B47" t="s">
        <v>169</v>
      </c>
      <c r="C47" t="s">
        <v>12</v>
      </c>
      <c r="D47" t="s">
        <v>17</v>
      </c>
      <c r="E47" t="s">
        <v>14</v>
      </c>
      <c r="F47" t="s">
        <v>23</v>
      </c>
      <c r="G47" s="1">
        <v>42417</v>
      </c>
      <c r="H47" s="1">
        <v>28157</v>
      </c>
      <c r="I47" t="s">
        <v>18</v>
      </c>
      <c r="J47">
        <v>19451</v>
      </c>
      <c r="K47">
        <v>0.77</v>
      </c>
      <c r="L47">
        <v>0.63</v>
      </c>
      <c r="M47" s="2">
        <v>17993</v>
      </c>
      <c r="N47">
        <v>49</v>
      </c>
      <c r="O47" t="s">
        <v>67</v>
      </c>
      <c r="P47">
        <v>-18.181818181818183</v>
      </c>
      <c r="Q47" t="s">
        <v>68</v>
      </c>
    </row>
    <row r="48" spans="1:17" x14ac:dyDescent="0.25">
      <c r="A48" t="s">
        <v>170</v>
      </c>
      <c r="B48" t="s">
        <v>171</v>
      </c>
      <c r="C48" t="s">
        <v>27</v>
      </c>
      <c r="D48" t="s">
        <v>17</v>
      </c>
      <c r="E48" t="s">
        <v>14</v>
      </c>
      <c r="F48" t="s">
        <v>66</v>
      </c>
      <c r="G48" s="1">
        <v>39102</v>
      </c>
      <c r="H48" s="1">
        <v>24807</v>
      </c>
      <c r="I48" t="s">
        <v>18</v>
      </c>
      <c r="J48">
        <v>2185</v>
      </c>
      <c r="K48">
        <v>0.79</v>
      </c>
      <c r="L48">
        <v>0.65</v>
      </c>
      <c r="M48" s="2">
        <v>21343</v>
      </c>
      <c r="N48">
        <v>58</v>
      </c>
      <c r="O48" t="s">
        <v>73</v>
      </c>
      <c r="P48">
        <v>-17.721518987341771</v>
      </c>
      <c r="Q48" t="s">
        <v>68</v>
      </c>
    </row>
    <row r="49" spans="1:17" x14ac:dyDescent="0.25">
      <c r="A49" t="s">
        <v>172</v>
      </c>
      <c r="B49" t="s">
        <v>173</v>
      </c>
      <c r="C49" t="s">
        <v>28</v>
      </c>
      <c r="D49" t="s">
        <v>29</v>
      </c>
      <c r="E49" t="s">
        <v>30</v>
      </c>
      <c r="F49" t="s">
        <v>23</v>
      </c>
      <c r="G49" s="1">
        <v>39036</v>
      </c>
      <c r="H49" s="1">
        <v>29537</v>
      </c>
      <c r="I49" t="s">
        <v>18</v>
      </c>
      <c r="J49">
        <v>20500</v>
      </c>
      <c r="K49">
        <v>0.82</v>
      </c>
      <c r="L49">
        <v>0.86</v>
      </c>
      <c r="M49" s="2">
        <v>16613</v>
      </c>
      <c r="N49">
        <v>46</v>
      </c>
      <c r="O49" t="s">
        <v>67</v>
      </c>
      <c r="P49">
        <v>4.8780487804878092</v>
      </c>
      <c r="Q49" t="s">
        <v>74</v>
      </c>
    </row>
    <row r="50" spans="1:17" x14ac:dyDescent="0.25">
      <c r="A50" t="s">
        <v>174</v>
      </c>
      <c r="B50" t="s">
        <v>175</v>
      </c>
      <c r="C50" t="s">
        <v>31</v>
      </c>
      <c r="D50" t="s">
        <v>32</v>
      </c>
      <c r="E50" t="s">
        <v>30</v>
      </c>
      <c r="F50" t="s">
        <v>23</v>
      </c>
      <c r="G50" s="1">
        <v>37121</v>
      </c>
      <c r="H50" s="1">
        <v>24296</v>
      </c>
      <c r="I50" t="s">
        <v>18</v>
      </c>
      <c r="J50">
        <v>17233</v>
      </c>
      <c r="K50">
        <v>0.89</v>
      </c>
      <c r="L50">
        <v>0.41</v>
      </c>
      <c r="M50" s="2">
        <v>21854</v>
      </c>
      <c r="N50">
        <v>60</v>
      </c>
      <c r="O50" t="s">
        <v>90</v>
      </c>
      <c r="P50">
        <v>-53.932584269662918</v>
      </c>
      <c r="Q50" t="s">
        <v>68</v>
      </c>
    </row>
    <row r="51" spans="1:17" x14ac:dyDescent="0.25">
      <c r="A51" t="s">
        <v>176</v>
      </c>
      <c r="B51" t="s">
        <v>177</v>
      </c>
      <c r="C51" t="s">
        <v>33</v>
      </c>
      <c r="D51" t="s">
        <v>34</v>
      </c>
      <c r="E51" t="s">
        <v>30</v>
      </c>
      <c r="F51" t="s">
        <v>20</v>
      </c>
      <c r="G51" s="1">
        <v>37758</v>
      </c>
      <c r="H51" s="1">
        <v>30195</v>
      </c>
      <c r="I51" t="s">
        <v>18</v>
      </c>
      <c r="J51">
        <v>19987</v>
      </c>
      <c r="K51">
        <v>0.76</v>
      </c>
      <c r="L51">
        <v>0.55000000000000004</v>
      </c>
      <c r="M51" s="2">
        <v>15955</v>
      </c>
      <c r="N51">
        <v>44</v>
      </c>
      <c r="O51" t="s">
        <v>67</v>
      </c>
      <c r="P51">
        <v>-27.631578947368418</v>
      </c>
      <c r="Q51" t="s">
        <v>68</v>
      </c>
    </row>
    <row r="52" spans="1:17" x14ac:dyDescent="0.25">
      <c r="A52" t="s">
        <v>178</v>
      </c>
      <c r="B52" t="s">
        <v>179</v>
      </c>
      <c r="C52" t="s">
        <v>35</v>
      </c>
      <c r="D52" t="s">
        <v>36</v>
      </c>
      <c r="E52" t="s">
        <v>30</v>
      </c>
      <c r="F52" t="s">
        <v>66</v>
      </c>
      <c r="G52" s="1">
        <v>39600</v>
      </c>
      <c r="H52" s="1">
        <v>29625</v>
      </c>
      <c r="I52" t="s">
        <v>18</v>
      </c>
      <c r="J52">
        <v>23537</v>
      </c>
      <c r="K52">
        <v>0.87</v>
      </c>
      <c r="L52">
        <v>0.69</v>
      </c>
      <c r="M52" s="2">
        <v>16525</v>
      </c>
      <c r="N52">
        <v>45</v>
      </c>
      <c r="O52" t="s">
        <v>67</v>
      </c>
      <c r="P52">
        <v>-20.689655172413797</v>
      </c>
      <c r="Q52" t="s">
        <v>68</v>
      </c>
    </row>
    <row r="53" spans="1:17" x14ac:dyDescent="0.25">
      <c r="A53" t="s">
        <v>180</v>
      </c>
      <c r="B53" t="s">
        <v>181</v>
      </c>
      <c r="C53" t="s">
        <v>24</v>
      </c>
      <c r="D53" t="s">
        <v>34</v>
      </c>
      <c r="E53" t="s">
        <v>30</v>
      </c>
      <c r="F53" t="s">
        <v>23</v>
      </c>
      <c r="G53" s="1">
        <v>42491</v>
      </c>
      <c r="H53" s="1">
        <v>27603</v>
      </c>
      <c r="I53" t="s">
        <v>18</v>
      </c>
      <c r="J53">
        <v>7935</v>
      </c>
      <c r="K53">
        <v>0.83</v>
      </c>
      <c r="L53">
        <v>0.41</v>
      </c>
      <c r="M53" s="2">
        <v>18547</v>
      </c>
      <c r="N53">
        <v>51</v>
      </c>
      <c r="O53" t="s">
        <v>73</v>
      </c>
      <c r="P53">
        <v>-50.602409638554214</v>
      </c>
      <c r="Q53" t="s">
        <v>68</v>
      </c>
    </row>
    <row r="54" spans="1:17" x14ac:dyDescent="0.25">
      <c r="A54" t="s">
        <v>182</v>
      </c>
      <c r="B54" t="s">
        <v>183</v>
      </c>
      <c r="C54" t="s">
        <v>25</v>
      </c>
      <c r="D54" t="s">
        <v>32</v>
      </c>
      <c r="E54" t="s">
        <v>30</v>
      </c>
      <c r="F54" t="s">
        <v>20</v>
      </c>
      <c r="G54" s="1">
        <v>42515</v>
      </c>
      <c r="H54" s="1">
        <v>26982</v>
      </c>
      <c r="I54" t="s">
        <v>18</v>
      </c>
      <c r="J54">
        <v>20121</v>
      </c>
      <c r="K54">
        <v>0.8</v>
      </c>
      <c r="L54">
        <v>0.64</v>
      </c>
      <c r="M54" s="2">
        <v>19168</v>
      </c>
      <c r="N54">
        <v>53</v>
      </c>
      <c r="O54" t="s">
        <v>73</v>
      </c>
      <c r="P54">
        <v>-20.000000000000004</v>
      </c>
      <c r="Q54" t="s">
        <v>68</v>
      </c>
    </row>
    <row r="55" spans="1:17" x14ac:dyDescent="0.25">
      <c r="A55" t="s">
        <v>184</v>
      </c>
      <c r="B55" t="s">
        <v>185</v>
      </c>
      <c r="C55" t="s">
        <v>37</v>
      </c>
      <c r="D55" t="s">
        <v>34</v>
      </c>
      <c r="E55" t="s">
        <v>30</v>
      </c>
      <c r="F55" t="s">
        <v>23</v>
      </c>
      <c r="G55" s="1">
        <v>42597</v>
      </c>
      <c r="H55" s="1">
        <v>29688</v>
      </c>
      <c r="I55" t="s">
        <v>18</v>
      </c>
      <c r="J55">
        <v>16408</v>
      </c>
      <c r="K55">
        <v>0.76</v>
      </c>
      <c r="L55">
        <v>0.91</v>
      </c>
      <c r="M55" s="2">
        <v>16462</v>
      </c>
      <c r="N55">
        <v>45</v>
      </c>
      <c r="O55" t="s">
        <v>67</v>
      </c>
      <c r="P55">
        <v>19.736842105263161</v>
      </c>
      <c r="Q55" t="s">
        <v>74</v>
      </c>
    </row>
    <row r="56" spans="1:17" x14ac:dyDescent="0.25">
      <c r="A56" t="s">
        <v>186</v>
      </c>
      <c r="B56" t="s">
        <v>187</v>
      </c>
      <c r="C56" t="s">
        <v>38</v>
      </c>
      <c r="D56" t="s">
        <v>36</v>
      </c>
      <c r="E56" t="s">
        <v>30</v>
      </c>
      <c r="F56" t="s">
        <v>20</v>
      </c>
      <c r="G56" s="1">
        <v>35029</v>
      </c>
      <c r="H56" s="1">
        <v>30178</v>
      </c>
      <c r="I56" t="s">
        <v>18</v>
      </c>
      <c r="J56">
        <v>2323</v>
      </c>
      <c r="K56">
        <v>0.83</v>
      </c>
      <c r="L56">
        <v>0.75</v>
      </c>
      <c r="M56" s="2">
        <v>15972</v>
      </c>
      <c r="N56">
        <v>44</v>
      </c>
      <c r="O56" t="s">
        <v>67</v>
      </c>
      <c r="P56">
        <v>-9.6385542168674654</v>
      </c>
      <c r="Q56" t="s">
        <v>68</v>
      </c>
    </row>
    <row r="57" spans="1:17" x14ac:dyDescent="0.25">
      <c r="A57" t="s">
        <v>188</v>
      </c>
      <c r="B57" t="s">
        <v>189</v>
      </c>
      <c r="C57" t="s">
        <v>39</v>
      </c>
      <c r="D57" t="s">
        <v>34</v>
      </c>
      <c r="E57" t="s">
        <v>30</v>
      </c>
      <c r="F57" t="s">
        <v>23</v>
      </c>
      <c r="G57" s="1">
        <v>35855</v>
      </c>
      <c r="H57" s="1">
        <v>24091</v>
      </c>
      <c r="I57" t="s">
        <v>18</v>
      </c>
      <c r="J57">
        <v>6553</v>
      </c>
      <c r="K57">
        <v>0.75</v>
      </c>
      <c r="L57">
        <v>0.75</v>
      </c>
      <c r="M57" s="2">
        <v>22059</v>
      </c>
      <c r="N57">
        <v>60</v>
      </c>
      <c r="O57" t="s">
        <v>90</v>
      </c>
      <c r="P57">
        <v>0</v>
      </c>
      <c r="Q57" t="s">
        <v>68</v>
      </c>
    </row>
    <row r="58" spans="1:17" x14ac:dyDescent="0.25">
      <c r="A58" t="s">
        <v>190</v>
      </c>
      <c r="B58" t="s">
        <v>191</v>
      </c>
      <c r="C58" t="s">
        <v>40</v>
      </c>
      <c r="D58" t="s">
        <v>32</v>
      </c>
      <c r="E58" t="s">
        <v>30</v>
      </c>
      <c r="F58" t="s">
        <v>23</v>
      </c>
      <c r="G58" s="1">
        <v>36544</v>
      </c>
      <c r="H58" s="1">
        <v>28423</v>
      </c>
      <c r="I58" t="s">
        <v>18</v>
      </c>
      <c r="J58">
        <v>13054</v>
      </c>
      <c r="K58">
        <v>0.82</v>
      </c>
      <c r="L58">
        <v>0.48</v>
      </c>
      <c r="M58" s="2">
        <v>17727</v>
      </c>
      <c r="N58">
        <v>49</v>
      </c>
      <c r="O58" t="s">
        <v>67</v>
      </c>
      <c r="P58">
        <v>-41.463414634146339</v>
      </c>
      <c r="Q58" t="s">
        <v>68</v>
      </c>
    </row>
    <row r="59" spans="1:17" x14ac:dyDescent="0.25">
      <c r="A59" t="s">
        <v>192</v>
      </c>
      <c r="B59" t="s">
        <v>193</v>
      </c>
      <c r="C59" t="s">
        <v>16</v>
      </c>
      <c r="D59" t="s">
        <v>34</v>
      </c>
      <c r="E59" t="s">
        <v>30</v>
      </c>
      <c r="F59" t="s">
        <v>23</v>
      </c>
      <c r="G59" s="1">
        <v>37118</v>
      </c>
      <c r="H59" s="1">
        <v>27130</v>
      </c>
      <c r="I59" t="s">
        <v>18</v>
      </c>
      <c r="J59">
        <v>20909</v>
      </c>
      <c r="K59">
        <v>0.88</v>
      </c>
      <c r="L59">
        <v>0.46</v>
      </c>
      <c r="M59" s="2">
        <v>19020</v>
      </c>
      <c r="N59">
        <v>52</v>
      </c>
      <c r="O59" t="s">
        <v>73</v>
      </c>
      <c r="P59">
        <v>-47.727272727272727</v>
      </c>
      <c r="Q59" t="s">
        <v>68</v>
      </c>
    </row>
    <row r="60" spans="1:17" x14ac:dyDescent="0.25">
      <c r="A60" t="s">
        <v>194</v>
      </c>
      <c r="B60" t="s">
        <v>195</v>
      </c>
      <c r="C60" t="s">
        <v>19</v>
      </c>
      <c r="D60" t="s">
        <v>36</v>
      </c>
      <c r="E60" t="s">
        <v>30</v>
      </c>
      <c r="F60" t="s">
        <v>20</v>
      </c>
      <c r="G60" s="1">
        <v>37460</v>
      </c>
      <c r="H60" s="1">
        <v>25427</v>
      </c>
      <c r="I60" t="s">
        <v>18</v>
      </c>
      <c r="J60">
        <v>23771</v>
      </c>
      <c r="K60">
        <v>0.88</v>
      </c>
      <c r="L60">
        <v>0.63</v>
      </c>
      <c r="M60" s="2">
        <v>20723</v>
      </c>
      <c r="N60">
        <v>57</v>
      </c>
      <c r="O60" t="s">
        <v>73</v>
      </c>
      <c r="P60">
        <v>-28.40909090909091</v>
      </c>
      <c r="Q60" t="s">
        <v>68</v>
      </c>
    </row>
    <row r="61" spans="1:17" x14ac:dyDescent="0.25">
      <c r="A61" t="s">
        <v>196</v>
      </c>
      <c r="B61" t="s">
        <v>197</v>
      </c>
      <c r="C61" t="s">
        <v>41</v>
      </c>
      <c r="D61" t="s">
        <v>34</v>
      </c>
      <c r="E61" t="s">
        <v>30</v>
      </c>
      <c r="F61" t="s">
        <v>23</v>
      </c>
      <c r="G61" s="1">
        <v>41748</v>
      </c>
      <c r="H61" s="1">
        <v>25434</v>
      </c>
      <c r="I61" t="s">
        <v>18</v>
      </c>
      <c r="J61">
        <v>8529</v>
      </c>
      <c r="K61">
        <v>0.83</v>
      </c>
      <c r="L61">
        <v>0.77</v>
      </c>
      <c r="M61" s="2">
        <v>20716</v>
      </c>
      <c r="N61">
        <v>57</v>
      </c>
      <c r="O61" t="s">
        <v>73</v>
      </c>
      <c r="P61">
        <v>-7.2289156626505955</v>
      </c>
      <c r="Q61" t="s">
        <v>68</v>
      </c>
    </row>
    <row r="62" spans="1:17" x14ac:dyDescent="0.25">
      <c r="A62" t="s">
        <v>198</v>
      </c>
      <c r="B62" t="s">
        <v>199</v>
      </c>
      <c r="C62" t="s">
        <v>42</v>
      </c>
      <c r="D62" t="s">
        <v>32</v>
      </c>
      <c r="E62" t="s">
        <v>30</v>
      </c>
      <c r="F62" t="s">
        <v>66</v>
      </c>
      <c r="G62" s="1">
        <v>41977</v>
      </c>
      <c r="H62" s="1">
        <v>29527</v>
      </c>
      <c r="I62" t="s">
        <v>18</v>
      </c>
      <c r="J62">
        <v>3453</v>
      </c>
      <c r="K62">
        <v>0.87</v>
      </c>
      <c r="L62">
        <v>0.83</v>
      </c>
      <c r="M62" s="2">
        <v>16623</v>
      </c>
      <c r="N62">
        <v>46</v>
      </c>
      <c r="O62" t="s">
        <v>67</v>
      </c>
      <c r="P62">
        <v>-4.5977011494252915</v>
      </c>
      <c r="Q62" t="s">
        <v>68</v>
      </c>
    </row>
    <row r="63" spans="1:17" x14ac:dyDescent="0.25">
      <c r="A63" t="s">
        <v>200</v>
      </c>
      <c r="B63" t="s">
        <v>201</v>
      </c>
      <c r="C63" t="s">
        <v>43</v>
      </c>
      <c r="D63" t="s">
        <v>34</v>
      </c>
      <c r="E63" t="s">
        <v>30</v>
      </c>
      <c r="F63" t="s">
        <v>66</v>
      </c>
      <c r="G63" s="1">
        <v>42053</v>
      </c>
      <c r="H63" s="1">
        <v>27098</v>
      </c>
      <c r="I63" t="s">
        <v>18</v>
      </c>
      <c r="J63">
        <v>14170</v>
      </c>
      <c r="K63">
        <v>0.77</v>
      </c>
      <c r="L63">
        <v>0.89</v>
      </c>
      <c r="M63" s="2">
        <v>19052</v>
      </c>
      <c r="N63">
        <v>52</v>
      </c>
      <c r="O63" t="s">
        <v>73</v>
      </c>
      <c r="P63">
        <v>15.584415584415584</v>
      </c>
      <c r="Q63" t="s">
        <v>74</v>
      </c>
    </row>
    <row r="64" spans="1:17" x14ac:dyDescent="0.25">
      <c r="A64" t="s">
        <v>202</v>
      </c>
      <c r="B64" t="s">
        <v>203</v>
      </c>
      <c r="C64" t="s">
        <v>44</v>
      </c>
      <c r="D64" t="s">
        <v>36</v>
      </c>
      <c r="E64" t="s">
        <v>30</v>
      </c>
      <c r="F64" t="s">
        <v>20</v>
      </c>
      <c r="G64" s="1">
        <v>42597</v>
      </c>
      <c r="H64" s="1">
        <v>30987</v>
      </c>
      <c r="I64" t="s">
        <v>18</v>
      </c>
      <c r="J64">
        <v>3254</v>
      </c>
      <c r="K64">
        <v>0.81</v>
      </c>
      <c r="L64">
        <v>0.85</v>
      </c>
      <c r="M64" s="2">
        <v>15163</v>
      </c>
      <c r="N64">
        <v>42</v>
      </c>
      <c r="O64" t="s">
        <v>67</v>
      </c>
      <c r="P64">
        <v>4.9382716049382616</v>
      </c>
      <c r="Q64" t="s">
        <v>74</v>
      </c>
    </row>
    <row r="65" spans="1:17" x14ac:dyDescent="0.25">
      <c r="A65" t="s">
        <v>204</v>
      </c>
      <c r="B65" t="s">
        <v>205</v>
      </c>
      <c r="C65" t="s">
        <v>45</v>
      </c>
      <c r="D65" t="s">
        <v>34</v>
      </c>
      <c r="E65" t="s">
        <v>30</v>
      </c>
      <c r="F65" t="s">
        <v>66</v>
      </c>
      <c r="G65" s="1">
        <v>38816</v>
      </c>
      <c r="H65" s="1">
        <v>24781</v>
      </c>
      <c r="I65" t="s">
        <v>18</v>
      </c>
      <c r="J65">
        <v>5735</v>
      </c>
      <c r="K65">
        <v>0.82</v>
      </c>
      <c r="L65">
        <v>0.69</v>
      </c>
      <c r="M65" s="2">
        <v>21369</v>
      </c>
      <c r="N65">
        <v>59</v>
      </c>
      <c r="O65" t="s">
        <v>73</v>
      </c>
      <c r="P65">
        <v>-15.853658536585366</v>
      </c>
      <c r="Q65" t="s">
        <v>68</v>
      </c>
    </row>
    <row r="66" spans="1:17" x14ac:dyDescent="0.25">
      <c r="A66" t="s">
        <v>206</v>
      </c>
      <c r="B66" t="s">
        <v>207</v>
      </c>
      <c r="C66" t="s">
        <v>21</v>
      </c>
      <c r="D66" t="s">
        <v>32</v>
      </c>
      <c r="E66" t="s">
        <v>30</v>
      </c>
      <c r="F66" t="s">
        <v>66</v>
      </c>
      <c r="G66" s="1">
        <v>39298</v>
      </c>
      <c r="H66" s="1">
        <v>25572</v>
      </c>
      <c r="I66" t="s">
        <v>18</v>
      </c>
      <c r="J66">
        <v>2725</v>
      </c>
      <c r="K66">
        <v>0.8</v>
      </c>
      <c r="L66">
        <v>0.54</v>
      </c>
      <c r="M66" s="2">
        <v>20578</v>
      </c>
      <c r="N66">
        <v>56</v>
      </c>
      <c r="O66" t="s">
        <v>73</v>
      </c>
      <c r="P66">
        <v>-32.5</v>
      </c>
      <c r="Q66" t="s">
        <v>68</v>
      </c>
    </row>
    <row r="67" spans="1:17" x14ac:dyDescent="0.25">
      <c r="A67" t="s">
        <v>208</v>
      </c>
      <c r="B67" t="s">
        <v>209</v>
      </c>
      <c r="C67" t="s">
        <v>22</v>
      </c>
      <c r="D67" t="s">
        <v>34</v>
      </c>
      <c r="E67" t="s">
        <v>30</v>
      </c>
      <c r="F67" t="s">
        <v>23</v>
      </c>
      <c r="G67" s="1">
        <v>39725</v>
      </c>
      <c r="H67" s="1">
        <v>25981</v>
      </c>
      <c r="I67" t="s">
        <v>18</v>
      </c>
      <c r="J67">
        <v>5909</v>
      </c>
      <c r="K67">
        <v>0.76</v>
      </c>
      <c r="L67">
        <v>0.43</v>
      </c>
      <c r="M67" s="2">
        <v>20169</v>
      </c>
      <c r="N67">
        <v>55</v>
      </c>
      <c r="O67" t="s">
        <v>73</v>
      </c>
      <c r="P67">
        <v>-43.421052631578952</v>
      </c>
      <c r="Q67" t="s">
        <v>68</v>
      </c>
    </row>
    <row r="68" spans="1:17" x14ac:dyDescent="0.25">
      <c r="A68" t="s">
        <v>210</v>
      </c>
      <c r="B68" t="s">
        <v>211</v>
      </c>
      <c r="C68" t="s">
        <v>46</v>
      </c>
      <c r="D68" t="s">
        <v>36</v>
      </c>
      <c r="E68" t="s">
        <v>30</v>
      </c>
      <c r="F68" t="s">
        <v>23</v>
      </c>
      <c r="G68" s="1">
        <v>40180</v>
      </c>
      <c r="H68" s="1">
        <v>23726</v>
      </c>
      <c r="I68" t="s">
        <v>18</v>
      </c>
      <c r="J68">
        <v>11445</v>
      </c>
      <c r="K68">
        <v>0.8</v>
      </c>
      <c r="L68">
        <v>0.57999999999999996</v>
      </c>
      <c r="M68" s="2">
        <v>22424</v>
      </c>
      <c r="N68">
        <v>61</v>
      </c>
      <c r="O68" t="s">
        <v>90</v>
      </c>
      <c r="P68">
        <v>-27.500000000000007</v>
      </c>
      <c r="Q68" t="s">
        <v>68</v>
      </c>
    </row>
    <row r="69" spans="1:17" x14ac:dyDescent="0.25">
      <c r="A69" t="s">
        <v>212</v>
      </c>
      <c r="B69" t="s">
        <v>213</v>
      </c>
      <c r="C69" t="s">
        <v>19</v>
      </c>
      <c r="D69" t="s">
        <v>32</v>
      </c>
      <c r="E69" t="s">
        <v>30</v>
      </c>
      <c r="F69" t="s">
        <v>23</v>
      </c>
      <c r="G69" s="1">
        <v>37282</v>
      </c>
      <c r="H69" s="1">
        <v>30042</v>
      </c>
      <c r="I69" t="s">
        <v>18</v>
      </c>
      <c r="J69">
        <v>6834</v>
      </c>
      <c r="K69">
        <v>0.83</v>
      </c>
      <c r="L69">
        <v>0.64</v>
      </c>
      <c r="M69" s="2">
        <v>16108</v>
      </c>
      <c r="N69">
        <v>44</v>
      </c>
      <c r="O69" t="s">
        <v>67</v>
      </c>
      <c r="P69">
        <v>-22.891566265060238</v>
      </c>
      <c r="Q69" t="s">
        <v>68</v>
      </c>
    </row>
    <row r="70" spans="1:17" x14ac:dyDescent="0.25">
      <c r="A70" t="s">
        <v>214</v>
      </c>
      <c r="B70" t="s">
        <v>215</v>
      </c>
      <c r="C70" t="s">
        <v>47</v>
      </c>
      <c r="D70" t="s">
        <v>34</v>
      </c>
      <c r="E70" t="s">
        <v>30</v>
      </c>
      <c r="F70" t="s">
        <v>66</v>
      </c>
      <c r="G70" s="1">
        <v>37975</v>
      </c>
      <c r="H70" s="1">
        <v>24969</v>
      </c>
      <c r="I70" t="s">
        <v>18</v>
      </c>
      <c r="J70">
        <v>1860</v>
      </c>
      <c r="K70">
        <v>0.89</v>
      </c>
      <c r="L70">
        <v>0.94</v>
      </c>
      <c r="M70" s="2">
        <v>21181</v>
      </c>
      <c r="N70">
        <v>58</v>
      </c>
      <c r="O70" t="s">
        <v>73</v>
      </c>
      <c r="P70">
        <v>5.61797752808988</v>
      </c>
      <c r="Q70" t="s">
        <v>74</v>
      </c>
    </row>
    <row r="71" spans="1:17" x14ac:dyDescent="0.25">
      <c r="A71" t="s">
        <v>216</v>
      </c>
      <c r="B71" t="s">
        <v>217</v>
      </c>
      <c r="C71" t="s">
        <v>48</v>
      </c>
      <c r="D71" t="s">
        <v>36</v>
      </c>
      <c r="E71" t="s">
        <v>30</v>
      </c>
      <c r="F71" t="s">
        <v>66</v>
      </c>
      <c r="G71" s="1">
        <v>38403</v>
      </c>
      <c r="H71" s="1">
        <v>26618</v>
      </c>
      <c r="I71" t="s">
        <v>18</v>
      </c>
      <c r="J71">
        <v>8730</v>
      </c>
      <c r="K71">
        <v>0.88</v>
      </c>
      <c r="L71">
        <v>0.95</v>
      </c>
      <c r="M71" s="2">
        <v>19532</v>
      </c>
      <c r="N71">
        <v>54</v>
      </c>
      <c r="O71" t="s">
        <v>73</v>
      </c>
      <c r="P71">
        <v>7.9545454545454488</v>
      </c>
      <c r="Q71" t="s">
        <v>74</v>
      </c>
    </row>
    <row r="72" spans="1:17" x14ac:dyDescent="0.25">
      <c r="A72" t="s">
        <v>218</v>
      </c>
      <c r="B72" t="s">
        <v>219</v>
      </c>
      <c r="C72" t="s">
        <v>26</v>
      </c>
      <c r="D72" t="s">
        <v>49</v>
      </c>
      <c r="E72" t="s">
        <v>50</v>
      </c>
      <c r="F72" t="s">
        <v>20</v>
      </c>
      <c r="G72" s="1">
        <v>41498</v>
      </c>
      <c r="H72" s="1">
        <v>29990</v>
      </c>
      <c r="I72" t="s">
        <v>15</v>
      </c>
      <c r="J72">
        <v>25000</v>
      </c>
      <c r="K72">
        <v>0.8</v>
      </c>
      <c r="L72">
        <v>0.9</v>
      </c>
      <c r="M72" s="2">
        <v>16160</v>
      </c>
      <c r="N72">
        <v>44</v>
      </c>
      <c r="O72" t="s">
        <v>67</v>
      </c>
      <c r="P72">
        <v>12.499999999999996</v>
      </c>
      <c r="Q72" t="s">
        <v>74</v>
      </c>
    </row>
    <row r="73" spans="1:17" x14ac:dyDescent="0.25">
      <c r="A73" t="s">
        <v>220</v>
      </c>
      <c r="B73" t="s">
        <v>221</v>
      </c>
      <c r="C73" t="s">
        <v>51</v>
      </c>
      <c r="D73" t="s">
        <v>52</v>
      </c>
      <c r="E73" t="s">
        <v>50</v>
      </c>
      <c r="F73" t="s">
        <v>23</v>
      </c>
      <c r="G73" s="1">
        <v>39767</v>
      </c>
      <c r="H73" s="1">
        <v>30733</v>
      </c>
      <c r="I73" t="s">
        <v>18</v>
      </c>
      <c r="J73">
        <v>11492</v>
      </c>
      <c r="K73">
        <v>0.81</v>
      </c>
      <c r="L73">
        <v>0.77</v>
      </c>
      <c r="M73" s="2">
        <v>15417</v>
      </c>
      <c r="N73">
        <v>42</v>
      </c>
      <c r="O73" t="s">
        <v>67</v>
      </c>
      <c r="P73">
        <v>-4.9382716049382758</v>
      </c>
      <c r="Q73" t="s">
        <v>68</v>
      </c>
    </row>
    <row r="74" spans="1:17" x14ac:dyDescent="0.25">
      <c r="A74" t="s">
        <v>222</v>
      </c>
      <c r="B74" t="s">
        <v>223</v>
      </c>
      <c r="C74" t="s">
        <v>53</v>
      </c>
      <c r="D74" t="s">
        <v>52</v>
      </c>
      <c r="E74" t="s">
        <v>50</v>
      </c>
      <c r="F74" t="s">
        <v>66</v>
      </c>
      <c r="G74" s="1">
        <v>41749</v>
      </c>
      <c r="H74" s="1">
        <v>23688</v>
      </c>
      <c r="I74" t="s">
        <v>18</v>
      </c>
      <c r="J74">
        <v>5578</v>
      </c>
      <c r="K74">
        <v>0.76</v>
      </c>
      <c r="L74">
        <v>0.97</v>
      </c>
      <c r="M74" s="2">
        <v>22462</v>
      </c>
      <c r="N74">
        <v>62</v>
      </c>
      <c r="O74" t="s">
        <v>90</v>
      </c>
      <c r="P74">
        <v>27.631578947368418</v>
      </c>
      <c r="Q74" t="s">
        <v>74</v>
      </c>
    </row>
    <row r="75" spans="1:17" x14ac:dyDescent="0.25">
      <c r="A75" t="s">
        <v>224</v>
      </c>
      <c r="B75" t="s">
        <v>225</v>
      </c>
      <c r="C75" t="s">
        <v>47</v>
      </c>
      <c r="D75" t="s">
        <v>52</v>
      </c>
      <c r="E75" t="s">
        <v>50</v>
      </c>
      <c r="F75" t="s">
        <v>23</v>
      </c>
      <c r="G75" s="1">
        <v>37817</v>
      </c>
      <c r="H75" s="1">
        <v>25539</v>
      </c>
      <c r="I75" t="s">
        <v>18</v>
      </c>
      <c r="J75">
        <v>6348</v>
      </c>
      <c r="K75">
        <v>0.76</v>
      </c>
      <c r="L75">
        <v>0.69</v>
      </c>
      <c r="M75" s="2">
        <v>20611</v>
      </c>
      <c r="N75">
        <v>56</v>
      </c>
      <c r="O75" t="s">
        <v>73</v>
      </c>
      <c r="P75">
        <v>-9.2105263157894814</v>
      </c>
      <c r="Q75" t="s">
        <v>68</v>
      </c>
    </row>
    <row r="76" spans="1:17" x14ac:dyDescent="0.25">
      <c r="A76" t="s">
        <v>226</v>
      </c>
      <c r="B76" t="s">
        <v>227</v>
      </c>
      <c r="C76" t="s">
        <v>54</v>
      </c>
      <c r="D76" t="s">
        <v>52</v>
      </c>
      <c r="E76" t="s">
        <v>50</v>
      </c>
      <c r="F76" t="s">
        <v>20</v>
      </c>
      <c r="G76" s="1">
        <v>42598</v>
      </c>
      <c r="H76" s="1">
        <v>25876</v>
      </c>
      <c r="I76" t="s">
        <v>18</v>
      </c>
      <c r="J76">
        <v>1952</v>
      </c>
      <c r="K76">
        <v>0.83</v>
      </c>
      <c r="L76">
        <v>0.76</v>
      </c>
      <c r="M76" s="2">
        <v>20274</v>
      </c>
      <c r="N76">
        <v>56</v>
      </c>
      <c r="O76" t="s">
        <v>73</v>
      </c>
      <c r="P76">
        <v>-8.4337349397590309</v>
      </c>
      <c r="Q76" t="s">
        <v>68</v>
      </c>
    </row>
    <row r="77" spans="1:17" x14ac:dyDescent="0.25">
      <c r="A77" t="s">
        <v>228</v>
      </c>
      <c r="B77" t="s">
        <v>229</v>
      </c>
      <c r="C77" t="s">
        <v>55</v>
      </c>
      <c r="D77" t="s">
        <v>52</v>
      </c>
      <c r="E77" t="s">
        <v>50</v>
      </c>
      <c r="F77" t="s">
        <v>23</v>
      </c>
      <c r="G77" s="1">
        <v>40680</v>
      </c>
      <c r="H77" s="1">
        <v>28100</v>
      </c>
      <c r="I77" t="s">
        <v>18</v>
      </c>
      <c r="J77">
        <v>18214</v>
      </c>
      <c r="K77">
        <v>0.78</v>
      </c>
      <c r="L77">
        <v>0.64</v>
      </c>
      <c r="M77" s="2">
        <v>18050</v>
      </c>
      <c r="N77">
        <v>49</v>
      </c>
      <c r="O77" t="s">
        <v>67</v>
      </c>
      <c r="P77">
        <v>-17.948717948717949</v>
      </c>
      <c r="Q77" t="s">
        <v>68</v>
      </c>
    </row>
    <row r="78" spans="1:17" x14ac:dyDescent="0.25">
      <c r="A78" t="s">
        <v>230</v>
      </c>
      <c r="B78" t="s">
        <v>231</v>
      </c>
      <c r="C78" t="s">
        <v>232</v>
      </c>
      <c r="D78" t="s">
        <v>233</v>
      </c>
      <c r="E78" t="s">
        <v>234</v>
      </c>
      <c r="F78" t="s">
        <v>23</v>
      </c>
      <c r="G78" s="1">
        <v>40919</v>
      </c>
      <c r="H78" s="1">
        <v>23989</v>
      </c>
      <c r="I78" t="s">
        <v>15</v>
      </c>
      <c r="J78">
        <v>21575</v>
      </c>
      <c r="K78">
        <v>0.86</v>
      </c>
      <c r="L78">
        <v>0.87</v>
      </c>
      <c r="M78" s="2">
        <v>22161</v>
      </c>
      <c r="N78">
        <v>61</v>
      </c>
      <c r="O78" t="s">
        <v>90</v>
      </c>
      <c r="P78">
        <v>1.1627906976744196</v>
      </c>
      <c r="Q78" t="s">
        <v>74</v>
      </c>
    </row>
    <row r="79" spans="1:17" x14ac:dyDescent="0.25">
      <c r="A79" t="s">
        <v>235</v>
      </c>
      <c r="B79" t="s">
        <v>236</v>
      </c>
      <c r="C79" t="s">
        <v>47</v>
      </c>
      <c r="D79" t="s">
        <v>237</v>
      </c>
      <c r="E79" t="s">
        <v>234</v>
      </c>
      <c r="F79" t="s">
        <v>66</v>
      </c>
      <c r="G79" s="1">
        <v>38398</v>
      </c>
      <c r="H79" s="1">
        <v>23333</v>
      </c>
      <c r="I79" t="s">
        <v>18</v>
      </c>
      <c r="J79">
        <v>19023</v>
      </c>
      <c r="K79">
        <v>0.78</v>
      </c>
      <c r="L79">
        <v>0.89</v>
      </c>
      <c r="M79" s="2">
        <v>22817</v>
      </c>
      <c r="N79">
        <v>63</v>
      </c>
      <c r="O79" t="s">
        <v>90</v>
      </c>
      <c r="P79">
        <v>14.1025641025641</v>
      </c>
      <c r="Q79" t="s">
        <v>74</v>
      </c>
    </row>
    <row r="80" spans="1:17" x14ac:dyDescent="0.25">
      <c r="A80" t="s">
        <v>238</v>
      </c>
      <c r="B80" t="s">
        <v>239</v>
      </c>
      <c r="C80" t="s">
        <v>48</v>
      </c>
      <c r="D80" t="s">
        <v>240</v>
      </c>
      <c r="E80" t="s">
        <v>234</v>
      </c>
      <c r="F80" t="s">
        <v>23</v>
      </c>
      <c r="G80" s="1">
        <v>40292</v>
      </c>
      <c r="H80" s="1">
        <v>26435</v>
      </c>
      <c r="I80" t="s">
        <v>18</v>
      </c>
      <c r="J80">
        <v>12801</v>
      </c>
      <c r="K80">
        <v>0.75</v>
      </c>
      <c r="L80">
        <v>0.76</v>
      </c>
      <c r="M80" s="2">
        <v>19715</v>
      </c>
      <c r="N80">
        <v>54</v>
      </c>
      <c r="O80" t="s">
        <v>73</v>
      </c>
      <c r="P80">
        <v>1.3333333333333344</v>
      </c>
      <c r="Q80" t="s">
        <v>74</v>
      </c>
    </row>
    <row r="81" spans="1:17" x14ac:dyDescent="0.25">
      <c r="A81" t="s">
        <v>241</v>
      </c>
      <c r="B81" t="s">
        <v>242</v>
      </c>
      <c r="C81" t="s">
        <v>243</v>
      </c>
      <c r="D81" t="s">
        <v>240</v>
      </c>
      <c r="E81" t="s">
        <v>234</v>
      </c>
      <c r="F81" t="s">
        <v>66</v>
      </c>
      <c r="G81" s="1">
        <v>42483</v>
      </c>
      <c r="H81" s="1">
        <v>25924</v>
      </c>
      <c r="I81" t="s">
        <v>18</v>
      </c>
      <c r="J81">
        <v>16742</v>
      </c>
      <c r="K81">
        <v>0.87</v>
      </c>
      <c r="L81">
        <v>0.87</v>
      </c>
      <c r="M81" s="2">
        <v>20226</v>
      </c>
      <c r="N81">
        <v>55</v>
      </c>
      <c r="O81" t="s">
        <v>73</v>
      </c>
      <c r="P81">
        <v>0</v>
      </c>
      <c r="Q81" t="s">
        <v>68</v>
      </c>
    </row>
    <row r="82" spans="1:17" x14ac:dyDescent="0.25">
      <c r="A82" t="s">
        <v>244</v>
      </c>
      <c r="B82" t="s">
        <v>245</v>
      </c>
      <c r="C82" t="s">
        <v>125</v>
      </c>
      <c r="D82" t="s">
        <v>240</v>
      </c>
      <c r="E82" t="s">
        <v>234</v>
      </c>
      <c r="F82" t="s">
        <v>66</v>
      </c>
      <c r="G82" s="1">
        <v>42490</v>
      </c>
      <c r="H82" s="1">
        <v>30587</v>
      </c>
      <c r="I82" t="s">
        <v>18</v>
      </c>
      <c r="J82">
        <v>15635</v>
      </c>
      <c r="K82">
        <v>0.84</v>
      </c>
      <c r="L82">
        <v>0.84</v>
      </c>
      <c r="M82" s="2">
        <v>15563</v>
      </c>
      <c r="N82">
        <v>43</v>
      </c>
      <c r="O82" t="s">
        <v>67</v>
      </c>
      <c r="P82">
        <v>0</v>
      </c>
      <c r="Q82" t="s">
        <v>68</v>
      </c>
    </row>
    <row r="83" spans="1:17" x14ac:dyDescent="0.25">
      <c r="A83" t="s">
        <v>246</v>
      </c>
      <c r="B83" t="s">
        <v>247</v>
      </c>
      <c r="C83" t="s">
        <v>248</v>
      </c>
      <c r="D83" t="s">
        <v>237</v>
      </c>
      <c r="E83" t="s">
        <v>234</v>
      </c>
      <c r="F83" t="s">
        <v>23</v>
      </c>
      <c r="G83" s="1">
        <v>42833</v>
      </c>
      <c r="H83" s="1">
        <v>30733</v>
      </c>
      <c r="I83" t="s">
        <v>18</v>
      </c>
      <c r="J83">
        <v>20897</v>
      </c>
      <c r="K83">
        <v>0.83</v>
      </c>
      <c r="L83">
        <v>0.67</v>
      </c>
      <c r="M83" s="2">
        <v>15417</v>
      </c>
      <c r="N83">
        <v>42</v>
      </c>
      <c r="O83" t="s">
        <v>67</v>
      </c>
      <c r="P83">
        <v>-19.277108433734931</v>
      </c>
      <c r="Q83" t="s">
        <v>68</v>
      </c>
    </row>
    <row r="84" spans="1:17" x14ac:dyDescent="0.25">
      <c r="A84" t="s">
        <v>249</v>
      </c>
      <c r="B84" t="s">
        <v>250</v>
      </c>
      <c r="C84" t="s">
        <v>46</v>
      </c>
      <c r="D84" t="s">
        <v>240</v>
      </c>
      <c r="E84" t="s">
        <v>234</v>
      </c>
      <c r="F84" t="s">
        <v>20</v>
      </c>
      <c r="G84" s="1">
        <v>41527</v>
      </c>
      <c r="H84" s="1">
        <v>27607</v>
      </c>
      <c r="I84" t="s">
        <v>18</v>
      </c>
      <c r="J84">
        <v>15730</v>
      </c>
      <c r="K84">
        <v>0.86</v>
      </c>
      <c r="L84">
        <v>0.53</v>
      </c>
      <c r="M84" s="2">
        <v>18543</v>
      </c>
      <c r="N84">
        <v>51</v>
      </c>
      <c r="O84" t="s">
        <v>73</v>
      </c>
      <c r="P84">
        <v>-38.372093023255808</v>
      </c>
      <c r="Q84" t="s">
        <v>68</v>
      </c>
    </row>
    <row r="85" spans="1:17" x14ac:dyDescent="0.25">
      <c r="A85" t="s">
        <v>251</v>
      </c>
      <c r="B85" t="s">
        <v>252</v>
      </c>
      <c r="C85" t="s">
        <v>35</v>
      </c>
      <c r="D85" t="s">
        <v>240</v>
      </c>
      <c r="E85" t="s">
        <v>234</v>
      </c>
      <c r="F85" t="s">
        <v>23</v>
      </c>
      <c r="G85" s="1">
        <v>39671</v>
      </c>
      <c r="H85" s="1">
        <v>25496</v>
      </c>
      <c r="I85" t="s">
        <v>18</v>
      </c>
      <c r="J85">
        <v>16861</v>
      </c>
      <c r="K85">
        <v>0.87</v>
      </c>
      <c r="L85">
        <v>0.52</v>
      </c>
      <c r="M85" s="2">
        <v>20654</v>
      </c>
      <c r="N85">
        <v>57</v>
      </c>
      <c r="O85" t="s">
        <v>73</v>
      </c>
      <c r="P85">
        <v>-40.229885057471257</v>
      </c>
      <c r="Q85" t="s">
        <v>68</v>
      </c>
    </row>
    <row r="86" spans="1:17" x14ac:dyDescent="0.25">
      <c r="A86" t="s">
        <v>253</v>
      </c>
      <c r="B86" t="s">
        <v>254</v>
      </c>
      <c r="C86" t="s">
        <v>51</v>
      </c>
      <c r="D86" t="s">
        <v>240</v>
      </c>
      <c r="E86" t="s">
        <v>234</v>
      </c>
      <c r="F86" t="s">
        <v>66</v>
      </c>
      <c r="G86" s="1">
        <v>42084</v>
      </c>
      <c r="H86" s="1">
        <v>25856</v>
      </c>
      <c r="I86" t="s">
        <v>18</v>
      </c>
      <c r="J86">
        <v>5067</v>
      </c>
      <c r="K86">
        <v>0.86</v>
      </c>
      <c r="L86">
        <v>0.94</v>
      </c>
      <c r="M86" s="2">
        <v>20294</v>
      </c>
      <c r="N86">
        <v>56</v>
      </c>
      <c r="O86" t="s">
        <v>73</v>
      </c>
      <c r="P86">
        <v>9.302325581395344</v>
      </c>
      <c r="Q86" t="s">
        <v>74</v>
      </c>
    </row>
    <row r="87" spans="1:17" x14ac:dyDescent="0.25">
      <c r="A87" t="s">
        <v>255</v>
      </c>
      <c r="B87" t="s">
        <v>256</v>
      </c>
      <c r="C87" t="s">
        <v>81</v>
      </c>
      <c r="D87" t="s">
        <v>240</v>
      </c>
      <c r="E87" t="s">
        <v>234</v>
      </c>
      <c r="F87" t="s">
        <v>23</v>
      </c>
      <c r="G87" s="1">
        <v>39641</v>
      </c>
      <c r="H87" s="1">
        <v>25608</v>
      </c>
      <c r="I87" t="s">
        <v>18</v>
      </c>
      <c r="J87">
        <v>12903</v>
      </c>
      <c r="K87">
        <v>0.77</v>
      </c>
      <c r="L87">
        <v>0.75</v>
      </c>
      <c r="M87" s="2">
        <v>20542</v>
      </c>
      <c r="N87">
        <v>56</v>
      </c>
      <c r="O87" t="s">
        <v>73</v>
      </c>
      <c r="P87">
        <v>-2.5974025974025996</v>
      </c>
      <c r="Q87" t="s">
        <v>68</v>
      </c>
    </row>
    <row r="88" spans="1:17" x14ac:dyDescent="0.25">
      <c r="A88" t="s">
        <v>257</v>
      </c>
      <c r="B88" t="s">
        <v>258</v>
      </c>
      <c r="C88" t="s">
        <v>37</v>
      </c>
      <c r="D88" t="s">
        <v>237</v>
      </c>
      <c r="E88" t="s">
        <v>234</v>
      </c>
      <c r="F88" t="s">
        <v>66</v>
      </c>
      <c r="G88" s="1">
        <v>43121</v>
      </c>
      <c r="H88" s="1">
        <v>27200</v>
      </c>
      <c r="I88" t="s">
        <v>18</v>
      </c>
      <c r="J88">
        <v>4388</v>
      </c>
      <c r="K88">
        <v>0.86</v>
      </c>
      <c r="L88">
        <v>0.47</v>
      </c>
      <c r="M88" s="2">
        <v>18950</v>
      </c>
      <c r="N88">
        <v>52</v>
      </c>
      <c r="O88" t="s">
        <v>73</v>
      </c>
      <c r="P88">
        <v>-45.348837209302332</v>
      </c>
      <c r="Q88" t="s">
        <v>68</v>
      </c>
    </row>
    <row r="89" spans="1:17" x14ac:dyDescent="0.25">
      <c r="A89" t="s">
        <v>259</v>
      </c>
      <c r="B89" t="s">
        <v>260</v>
      </c>
      <c r="C89" t="s">
        <v>38</v>
      </c>
      <c r="D89" t="s">
        <v>240</v>
      </c>
      <c r="E89" t="s">
        <v>234</v>
      </c>
      <c r="F89" t="s">
        <v>66</v>
      </c>
      <c r="G89" s="1">
        <v>43463</v>
      </c>
      <c r="H89" s="1">
        <v>27167</v>
      </c>
      <c r="I89" t="s">
        <v>18</v>
      </c>
      <c r="J89">
        <v>15454</v>
      </c>
      <c r="K89">
        <v>0.87</v>
      </c>
      <c r="L89">
        <v>0.94</v>
      </c>
      <c r="M89" s="2">
        <v>18983</v>
      </c>
      <c r="N89">
        <v>52</v>
      </c>
      <c r="O89" t="s">
        <v>73</v>
      </c>
      <c r="P89">
        <v>8.0459770114942479</v>
      </c>
      <c r="Q89" t="s">
        <v>74</v>
      </c>
    </row>
    <row r="90" spans="1:17" x14ac:dyDescent="0.25">
      <c r="A90" t="s">
        <v>261</v>
      </c>
      <c r="B90" t="s">
        <v>262</v>
      </c>
      <c r="C90" t="s">
        <v>53</v>
      </c>
      <c r="D90" t="s">
        <v>240</v>
      </c>
      <c r="E90" t="s">
        <v>234</v>
      </c>
      <c r="F90" t="s">
        <v>23</v>
      </c>
      <c r="G90" s="1">
        <v>37676</v>
      </c>
      <c r="H90" s="1">
        <v>25124</v>
      </c>
      <c r="I90" t="s">
        <v>18</v>
      </c>
      <c r="J90">
        <v>24472</v>
      </c>
      <c r="K90">
        <v>0.84</v>
      </c>
      <c r="L90">
        <v>0.52</v>
      </c>
      <c r="M90" s="2">
        <v>21026</v>
      </c>
      <c r="N90">
        <v>58</v>
      </c>
      <c r="O90" t="s">
        <v>73</v>
      </c>
      <c r="P90">
        <v>-38.095238095238095</v>
      </c>
      <c r="Q90" t="s">
        <v>68</v>
      </c>
    </row>
    <row r="91" spans="1:17" x14ac:dyDescent="0.25">
      <c r="A91" t="s">
        <v>263</v>
      </c>
      <c r="B91" t="s">
        <v>264</v>
      </c>
      <c r="C91" t="s">
        <v>98</v>
      </c>
      <c r="D91" t="s">
        <v>240</v>
      </c>
      <c r="E91" t="s">
        <v>234</v>
      </c>
      <c r="F91" t="s">
        <v>23</v>
      </c>
      <c r="G91" s="1">
        <v>37817</v>
      </c>
      <c r="H91" s="1">
        <v>23708</v>
      </c>
      <c r="I91" t="s">
        <v>18</v>
      </c>
      <c r="J91">
        <v>15992</v>
      </c>
      <c r="K91">
        <v>0.82</v>
      </c>
      <c r="L91">
        <v>0.91</v>
      </c>
      <c r="M91" s="2">
        <v>22442</v>
      </c>
      <c r="N91">
        <v>61</v>
      </c>
      <c r="O91" t="s">
        <v>90</v>
      </c>
      <c r="P91">
        <v>10.975609756097571</v>
      </c>
      <c r="Q91" t="s">
        <v>74</v>
      </c>
    </row>
    <row r="92" spans="1:17" x14ac:dyDescent="0.25">
      <c r="A92" t="s">
        <v>265</v>
      </c>
      <c r="B92" t="s">
        <v>266</v>
      </c>
      <c r="C92" t="s">
        <v>63</v>
      </c>
      <c r="D92" t="s">
        <v>237</v>
      </c>
      <c r="E92" t="s">
        <v>234</v>
      </c>
      <c r="F92" t="s">
        <v>23</v>
      </c>
      <c r="G92" s="1">
        <v>42515</v>
      </c>
      <c r="H92" s="1">
        <v>24332</v>
      </c>
      <c r="I92" t="s">
        <v>18</v>
      </c>
      <c r="J92">
        <v>21183</v>
      </c>
      <c r="K92">
        <v>0.85</v>
      </c>
      <c r="L92">
        <v>0.66</v>
      </c>
      <c r="M92" s="2">
        <v>21818</v>
      </c>
      <c r="N92">
        <v>60</v>
      </c>
      <c r="O92" t="s">
        <v>90</v>
      </c>
      <c r="P92">
        <v>-22.352941176470583</v>
      </c>
      <c r="Q92" t="s">
        <v>68</v>
      </c>
    </row>
    <row r="93" spans="1:17" x14ac:dyDescent="0.25">
      <c r="A93" t="s">
        <v>267</v>
      </c>
      <c r="B93" t="s">
        <v>268</v>
      </c>
      <c r="C93" t="s">
        <v>31</v>
      </c>
      <c r="D93" t="s">
        <v>240</v>
      </c>
      <c r="E93" t="s">
        <v>234</v>
      </c>
      <c r="F93" t="s">
        <v>23</v>
      </c>
      <c r="G93" s="1">
        <v>41783</v>
      </c>
      <c r="H93" s="1">
        <v>25532</v>
      </c>
      <c r="I93" t="s">
        <v>18</v>
      </c>
      <c r="J93">
        <v>22459</v>
      </c>
      <c r="K93">
        <v>0.86</v>
      </c>
      <c r="L93">
        <v>0.43</v>
      </c>
      <c r="M93" s="2">
        <v>20618</v>
      </c>
      <c r="N93">
        <v>56</v>
      </c>
      <c r="O93" t="s">
        <v>73</v>
      </c>
      <c r="P93">
        <v>-50</v>
      </c>
      <c r="Q93" t="s">
        <v>68</v>
      </c>
    </row>
    <row r="94" spans="1:17" x14ac:dyDescent="0.25">
      <c r="A94" t="s">
        <v>269</v>
      </c>
      <c r="B94" t="s">
        <v>270</v>
      </c>
      <c r="C94" t="s">
        <v>81</v>
      </c>
      <c r="D94" t="s">
        <v>237</v>
      </c>
      <c r="E94" t="s">
        <v>234</v>
      </c>
      <c r="F94" t="s">
        <v>66</v>
      </c>
      <c r="G94" s="1">
        <v>39669</v>
      </c>
      <c r="H94" s="1">
        <v>29342</v>
      </c>
      <c r="I94" t="s">
        <v>18</v>
      </c>
      <c r="J94">
        <v>2227</v>
      </c>
      <c r="K94">
        <v>0.8</v>
      </c>
      <c r="L94">
        <v>0.59</v>
      </c>
      <c r="M94" s="2">
        <v>16808</v>
      </c>
      <c r="N94">
        <v>46</v>
      </c>
      <c r="O94" t="s">
        <v>67</v>
      </c>
      <c r="P94">
        <v>-26.250000000000007</v>
      </c>
      <c r="Q94" t="s">
        <v>68</v>
      </c>
    </row>
    <row r="95" spans="1:17" x14ac:dyDescent="0.25">
      <c r="A95" t="s">
        <v>271</v>
      </c>
      <c r="B95" t="s">
        <v>272</v>
      </c>
      <c r="C95" t="s">
        <v>41</v>
      </c>
      <c r="D95" t="s">
        <v>240</v>
      </c>
      <c r="E95" t="s">
        <v>234</v>
      </c>
      <c r="F95" t="s">
        <v>66</v>
      </c>
      <c r="G95" s="1">
        <v>39767</v>
      </c>
      <c r="H95" s="1">
        <v>26395</v>
      </c>
      <c r="I95" t="s">
        <v>18</v>
      </c>
      <c r="J95">
        <v>1673</v>
      </c>
      <c r="K95">
        <v>0.78</v>
      </c>
      <c r="L95">
        <v>0.78</v>
      </c>
      <c r="M95" s="2">
        <v>19755</v>
      </c>
      <c r="N95">
        <v>54</v>
      </c>
      <c r="O95" t="s">
        <v>73</v>
      </c>
      <c r="P95">
        <v>0</v>
      </c>
      <c r="Q95" t="s">
        <v>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E401F-FE12-4502-BD27-D91A6F77AE3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743D94-E3CF-4E72-B182-0207B44025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PivotTables</vt:lpstr>
      <vt:lpstr>PivotCharts</vt:lpstr>
      <vt:lpstr>All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Hana Ahmed AbdelFattah Mohamed</dc:creator>
  <cp:lastModifiedBy>Hana Ahmed AbdelFattah Mohamed</cp:lastModifiedBy>
  <dcterms:created xsi:type="dcterms:W3CDTF">2026-05-06T21:15:22Z</dcterms:created>
  <dcterms:modified xsi:type="dcterms:W3CDTF">2026-05-08T18:10:30Z</dcterms:modified>
</cp:coreProperties>
</file>